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5.xml" ContentType="application/vnd.openxmlformats-officedocument.drawingml.chart+xml"/>
  <Override PartName="/xl/charts/colors5.xml" ContentType="application/vnd.ms-office.chartcolorstyle+xml"/>
  <Override PartName="/xl/charts/style5.xml" ContentType="application/vnd.ms-office.chartstyle+xml"/>
  <Override PartName="/xl/charts/colors3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KPI Summary" sheetId="2" state="visible" r:id="rId4"/>
    <sheet name="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<sst xmlns="http://schemas.openxmlformats.org/spreadsheetml/2006/main" count="161" uniqueCount="99">
  <si>
    <t xml:space="preserve">Employee</t>
  </si>
  <si>
    <t xml:space="preserve">Region</t>
  </si>
  <si>
    <t xml:space="preserve">Department</t>
  </si>
  <si>
    <t xml:space="preserve">Role</t>
  </si>
  <si>
    <t xml:space="preserve">Training Completed</t>
  </si>
  <si>
    <t xml:space="preserve">Confidence Before</t>
  </si>
  <si>
    <t xml:space="preserve">Confidence After</t>
  </si>
  <si>
    <t xml:space="preserve">Collaboration Before</t>
  </si>
  <si>
    <t xml:space="preserve">Collaboration After</t>
  </si>
  <si>
    <t xml:space="preserve">Psychological Safety Before</t>
  </si>
  <si>
    <t xml:space="preserve">Psychological Safety After</t>
  </si>
  <si>
    <t xml:space="preserve">Mediation Checklist Used</t>
  </si>
  <si>
    <t xml:space="preserve">Conflict Resolution Days Before</t>
  </si>
  <si>
    <t xml:space="preserve">Conflict Resolution Days After</t>
  </si>
  <si>
    <t xml:space="preserve">Satisfaction</t>
  </si>
  <si>
    <t xml:space="preserve">Employee 1</t>
  </si>
  <si>
    <t xml:space="preserve">US</t>
  </si>
  <si>
    <t xml:space="preserve">Product</t>
  </si>
  <si>
    <t xml:space="preserve">Manager</t>
  </si>
  <si>
    <t xml:space="preserve">Yes</t>
  </si>
  <si>
    <t xml:space="preserve">Employee 2</t>
  </si>
  <si>
    <t xml:space="preserve">India</t>
  </si>
  <si>
    <t xml:space="preserve">Engineering</t>
  </si>
  <si>
    <t xml:space="preserve">Employee 3</t>
  </si>
  <si>
    <t xml:space="preserve">Brazil</t>
  </si>
  <si>
    <t xml:space="preserve">Operations</t>
  </si>
  <si>
    <t xml:space="preserve">Employee 4</t>
  </si>
  <si>
    <t xml:space="preserve">Germany</t>
  </si>
  <si>
    <t xml:space="preserve">Regulation</t>
  </si>
  <si>
    <t xml:space="preserve">Employee 5</t>
  </si>
  <si>
    <t xml:space="preserve">Japan</t>
  </si>
  <si>
    <t xml:space="preserve">No</t>
  </si>
  <si>
    <t xml:space="preserve">Employee 6</t>
  </si>
  <si>
    <t xml:space="preserve">Israel</t>
  </si>
  <si>
    <t xml:space="preserve">Data</t>
  </si>
  <si>
    <t xml:space="preserve">Employee 7</t>
  </si>
  <si>
    <t xml:space="preserve">UK</t>
  </si>
  <si>
    <t xml:space="preserve">Marketing</t>
  </si>
  <si>
    <t xml:space="preserve">Employee 8</t>
  </si>
  <si>
    <t xml:space="preserve">Singapore</t>
  </si>
  <si>
    <t xml:space="preserve">Employee 9</t>
  </si>
  <si>
    <t xml:space="preserve">Employee 10</t>
  </si>
  <si>
    <t xml:space="preserve">KPI</t>
  </si>
  <si>
    <t xml:space="preserve">Result</t>
  </si>
  <si>
    <t xml:space="preserve">Employees Enrolled</t>
  </si>
  <si>
    <t xml:space="preserve">180</t>
  </si>
  <si>
    <t xml:space="preserve">Training Completion Rate</t>
  </si>
  <si>
    <t xml:space="preserve">91%</t>
  </si>
  <si>
    <t xml:space="preserve">Manager Confidence Before</t>
  </si>
  <si>
    <t xml:space="preserve">2.9 / 5</t>
  </si>
  <si>
    <t xml:space="preserve">Manager Confidence After</t>
  </si>
  <si>
    <t xml:space="preserve">4.2 / 5</t>
  </si>
  <si>
    <t xml:space="preserve">Cross-Team Collaboration Before</t>
  </si>
  <si>
    <t xml:space="preserve">3.1 / 5</t>
  </si>
  <si>
    <t xml:space="preserve">Cross-Team Collaboration After</t>
  </si>
  <si>
    <t xml:space="preserve">4.1 / 5</t>
  </si>
  <si>
    <t xml:space="preserve">3.3 / 5</t>
  </si>
  <si>
    <t xml:space="preserve">4.0 / 5</t>
  </si>
  <si>
    <t xml:space="preserve">Conflict Resolution Time Before</t>
  </si>
  <si>
    <t xml:space="preserve">12 days</t>
  </si>
  <si>
    <t xml:space="preserve">Conflict Resolution Time After</t>
  </si>
  <si>
    <t xml:space="preserve">8.6 days</t>
  </si>
  <si>
    <t xml:space="preserve">Conflict Resolution Time Reduced</t>
  </si>
  <si>
    <t xml:space="preserve">28%</t>
  </si>
  <si>
    <t xml:space="preserve">Mediation Checklist Usage</t>
  </si>
  <si>
    <t xml:space="preserve">73%</t>
  </si>
  <si>
    <t xml:space="preserve">Team Working Agreements Submitted</t>
  </si>
  <si>
    <t xml:space="preserve">34</t>
  </si>
  <si>
    <t xml:space="preserve">Employee Satisfaction</t>
  </si>
  <si>
    <t xml:space="preserve">4.3 / 5</t>
  </si>
  <si>
    <t xml:space="preserve">Global Conflict Management Dashboard</t>
  </si>
  <si>
    <t xml:space="preserve">Training Completion</t>
  </si>
  <si>
    <t xml:space="preserve">Manager Confidence</t>
  </si>
  <si>
    <t xml:space="preserve">Collaboration Score</t>
  </si>
  <si>
    <t xml:space="preserve">Psychological Safety</t>
  </si>
  <si>
    <t xml:space="preserve">2.9 → 4.2</t>
  </si>
  <si>
    <t xml:space="preserve">3.1 → 4.1</t>
  </si>
  <si>
    <t xml:space="preserve">3.3 → 4.0</t>
  </si>
  <si>
    <t xml:space="preserve">Resolution Time Reduced</t>
  </si>
  <si>
    <t xml:space="preserve">Team Agreements Submitted</t>
  </si>
  <si>
    <t xml:space="preserve">Metric</t>
  </si>
  <si>
    <t xml:space="preserve">Before</t>
  </si>
  <si>
    <t xml:space="preserve">After</t>
  </si>
  <si>
    <t xml:space="preserve">Collaboration</t>
  </si>
  <si>
    <t xml:space="preserve">Resolution Time</t>
  </si>
  <si>
    <t xml:space="preserve">Days</t>
  </si>
  <si>
    <t xml:space="preserve">Mediation Checklist</t>
  </si>
  <si>
    <t xml:space="preserve">Share</t>
  </si>
  <si>
    <t xml:space="preserve">Used</t>
  </si>
  <si>
    <t xml:space="preserve">Not Used</t>
  </si>
  <si>
    <t xml:space="preserve">Avg Satisfaction</t>
  </si>
  <si>
    <t xml:space="preserve">Completion Rate</t>
  </si>
  <si>
    <t xml:space="preserve">Recommended Actions</t>
  </si>
  <si>
    <t xml:space="preserve">•  Run follow-up sessions for teams with low psychological safety scores.</t>
  </si>
  <si>
    <t xml:space="preserve">•  Add cross-cultural communication module to manager onboarding.</t>
  </si>
  <si>
    <t xml:space="preserve">•  Review time-zone norms in teams with repeated friction.</t>
  </si>
  <si>
    <t xml:space="preserve">•  Standardize collaboration tools for cross-functional projects.</t>
  </si>
  <si>
    <t xml:space="preserve">•  Require team working agreements for global project teams.</t>
  </si>
  <si>
    <t xml:space="preserve">•  Review conflict escalation trends monthly with HRBPs.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</si>
</sst>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22"/>
      <color rgb="FFFFFFFF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F4E78"/>
        <bgColor rgb="FF1565C0"/>
      </patternFill>
    </fill>
    <fill>
      <patternFill patternType="solid">
        <fgColor rgb="FFF2F2F2"/>
        <bgColor rgb="FFF9F9F9"/>
      </patternFill>
    </fill>
    <fill>
      <patternFill patternType="solid">
        <fgColor rgb="FF2E7D32"/>
        <bgColor rgb="FF008000"/>
      </patternFill>
    </fill>
    <fill>
      <patternFill patternType="solid">
        <fgColor rgb="FF1565C0"/>
        <bgColor rgb="FF4672A8"/>
      </patternFill>
    </fill>
    <fill>
      <patternFill patternType="solid">
        <fgColor rgb="FF6A1B9A"/>
        <bgColor rgb="FF4527A0"/>
      </patternFill>
    </fill>
    <fill>
      <patternFill patternType="solid">
        <fgColor rgb="FF00838F"/>
        <bgColor rgb="FF008080"/>
      </patternFill>
    </fill>
    <fill>
      <patternFill patternType="solid">
        <fgColor rgb="FFEF6C00"/>
        <bgColor rgb="FFFF9900"/>
      </patternFill>
    </fill>
    <fill>
      <patternFill patternType="solid">
        <fgColor rgb="FFC62828"/>
        <bgColor rgb="FFAD1457"/>
      </patternFill>
    </fill>
    <fill>
      <patternFill patternType="solid">
        <fgColor rgb="FF4527A0"/>
        <bgColor rgb="FF6A1B9A"/>
      </patternFill>
    </fill>
    <fill>
      <patternFill patternType="solid">
        <fgColor rgb="FFAD1457"/>
        <bgColor rgb="FFC62828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1B9A"/>
      <rgbColor rgb="FF00838F"/>
      <rgbColor rgb="FFBFBFBF"/>
      <rgbColor rgb="FF878787"/>
      <rgbColor rgb="FF93A9CE"/>
      <rgbColor rgb="FFAD1457"/>
      <rgbColor rgb="FFF9F9F9"/>
      <rgbColor rgb="FFF2F2F2"/>
      <rgbColor rgb="FF660066"/>
      <rgbColor rgb="FFFF8080"/>
      <rgbColor rgb="FF1565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EF6C00"/>
      <rgbColor rgb="FF4672A8"/>
      <rgbColor rgb="FF969696"/>
      <rgbColor rgb="FF1F4E78"/>
      <rgbColor rgb="FF2E7D32"/>
      <rgbColor rgb="FF003300"/>
      <rgbColor rgb="FF333300"/>
      <rgbColor rgb="FFC62828"/>
      <rgbColor rgb="FFC0504D"/>
      <rgbColor rgb="FF4527A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1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Before vs After: Confidence, Collaboration, Safety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Dashboard!B30</c:f>
              <c:strCache>
                <c:ptCount val="1"/>
                <c:pt idx="0">
                  <c:v>Before</c:v>
                </c:pt>
              </c:strCache>
            </c:strRef>
          </c:tx>
          <c:spPr>
            <a:solidFill>
              <a:srgbClr val="4672A8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Dashboard!$A$31:$A$33</c:f>
              <c:strCache>
                <c:ptCount val="3"/>
                <c:pt idx="0">
                  <c:v>Manager Confidence</c:v>
                </c:pt>
                <c:pt idx="1">
                  <c:v>Collaboration</c:v>
                </c:pt>
                <c:pt idx="2">
                  <c:v>Psychological Safety</c:v>
                </c:pt>
              </c:strCache>
            </c:strRef>
          </c:cat>
          <c:val>
            <c:numRef>
              <c:f>Dashboard!$B$31:$B$33</c:f>
              <c:numCache>
                <c:formatCode>General</c:formatCode>
                <c:ptCount val="3"/>
                <c:pt idx="0">
                  <c:v>2.9</c:v>
                </c:pt>
                <c:pt idx="1">
                  <c:v>3.1</c:v>
                </c:pt>
                <c:pt idx="2">
                  <c:v>3.3</c:v>
                </c:pt>
              </c:numCache>
            </c:numRef>
          </c:val>
        </c:ser>
        <c:ser>
          <c:idx val="1"/>
          <c:order val="1"/>
          <c:tx>
            <c:strRef>
              <c:f>Dashboard!C30</c:f>
              <c:strCache>
                <c:ptCount val="1"/>
                <c:pt idx="0">
                  <c:v>After</c:v>
                </c:pt>
              </c:strCache>
            </c:strRef>
          </c:tx>
          <c:spPr>
            <a:solidFill>
              <a:srgbClr val="93A9CE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Dashboard!$A$31:$A$33</c:f>
              <c:strCache>
                <c:ptCount val="3"/>
                <c:pt idx="0">
                  <c:v>Manager Confidence</c:v>
                </c:pt>
                <c:pt idx="1">
                  <c:v>Collaboration</c:v>
                </c:pt>
                <c:pt idx="2">
                  <c:v>Psychological Safety</c:v>
                </c:pt>
              </c:strCache>
            </c:strRef>
          </c:cat>
          <c:val>
            <c:numRef>
              <c:f>Dashboard!$C$31:$C$33</c:f>
              <c:numCache>
                <c:formatCode>General</c:formatCode>
                <c:ptCount val="3"/>
                <c:pt idx="0">
                  <c:v>4.2</c:v>
                </c:pt>
                <c:pt idx="1">
                  <c:v>4.1</c:v>
                </c:pt>
                <c:pt idx="2">
                  <c:v>4</c:v>
                </c:pt>
              </c:numCache>
            </c:numRef>
          </c:val>
        </c:ser>
        <c:gapWidth val="150"/>
        <c:overlap val="0"/>
        <c:axId val="82129068"/>
        <c:axId val="83829021"/>
      </c:barChart>
      <c:catAx>
        <c:axId val="821290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Metric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3829021"/>
        <c:crosses val="autoZero"/>
        <c:auto val="1"/>
        <c:lblAlgn val="ctr"/>
        <c:lblOffset val="100"/>
        <c:noMultiLvlLbl val="0"/>
      </c:catAx>
      <c:valAx>
        <c:axId val="838290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Score (1-5)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212906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Conflict Resolution Time (Days)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Dashboard!B35</c:f>
              <c:strCache>
                <c:ptCount val="1"/>
                <c:pt idx="0">
                  <c:v>Days</c:v>
                </c:pt>
              </c:strCache>
            </c:strRef>
          </c:tx>
          <c:spPr>
            <a:solidFill>
              <a:srgbClr val="C0504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Dashboard!$A$36:$A$37</c:f>
              <c:strCache>
                <c:ptCount val="2"/>
                <c:pt idx="0">
                  <c:v>Before</c:v>
                </c:pt>
                <c:pt idx="1">
                  <c:v>After</c:v>
                </c:pt>
              </c:strCache>
            </c:strRef>
          </c:cat>
          <c:val>
            <c:numRef>
              <c:f>Dashboard!$B$36:$B$37</c:f>
              <c:numCache>
                <c:formatCode>General</c:formatCode>
                <c:ptCount val="2"/>
                <c:pt idx="0">
                  <c:v>12</c:v>
                </c:pt>
                <c:pt idx="1">
                  <c:v>8.6</c:v>
                </c:pt>
              </c:numCache>
            </c:numRef>
          </c:val>
        </c:ser>
        <c:gapWidth val="150"/>
        <c:overlap val="0"/>
        <c:axId val="58321929"/>
        <c:axId val="72947159"/>
      </c:barChart>
      <c:catAx>
        <c:axId val="583219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Period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2947159"/>
        <c:crosses val="autoZero"/>
        <c:auto val="1"/>
        <c:lblAlgn val="ctr"/>
        <c:lblOffset val="100"/>
        <c:noMultiLvlLbl val="0"/>
      </c:catAx>
      <c:valAx>
        <c:axId val="729471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832192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Mediation Checklist Usage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Dashboard!B39</c:f>
              <c:strCache>
                <c:ptCount val="1"/>
                <c:pt idx="0">
                  <c:v>Share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Dashboard!$A$40:$A$41</c:f>
              <c:strCache>
                <c:ptCount val="2"/>
                <c:pt idx="0">
                  <c:v>Used</c:v>
                </c:pt>
                <c:pt idx="1">
                  <c:v>Not Used</c:v>
                </c:pt>
              </c:strCache>
            </c:strRef>
          </c:cat>
          <c:val>
            <c:numRef>
              <c:f>Dashboard!$B$40:$B$41</c:f>
              <c:numCache>
                <c:formatCode>General</c:formatCode>
                <c:ptCount val="2"/>
                <c:pt idx="0">
                  <c:v>73</c:v>
                </c:pt>
                <c:pt idx="1">
                  <c:v>27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3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Satisfaction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Dashboard!B43</c:f>
              <c:strCache>
                <c:ptCount val="1"/>
                <c:pt idx="0">
                  <c:v>Avg Satisfaction</c:v>
                </c:pt>
              </c:strCache>
            </c:strRef>
          </c:tx>
          <c:spPr>
            <a:solidFill>
              <a:srgbClr val="9BBB59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Dashboard!$A$44:$A$51</c:f>
              <c:strCache>
                <c:ptCount val="8"/>
                <c:pt idx="0">
                  <c:v>US</c:v>
                </c:pt>
                <c:pt idx="1">
                  <c:v>India</c:v>
                </c:pt>
                <c:pt idx="2">
                  <c:v>Brazil</c:v>
                </c:pt>
                <c:pt idx="3">
                  <c:v>Germany</c:v>
                </c:pt>
                <c:pt idx="4">
                  <c:v>Japan</c:v>
                </c:pt>
                <c:pt idx="5">
                  <c:v>Israel</c:v>
                </c:pt>
                <c:pt idx="6">
                  <c:v>UK</c:v>
                </c:pt>
                <c:pt idx="7">
                  <c:v>Singapore</c:v>
                </c:pt>
              </c:strCache>
            </c:strRef>
          </c:cat>
          <c:val>
            <c:numRef>
              <c:f>Dashboard!$B$44:$B$51</c:f>
              <c:numCache>
                <c:formatCode>General</c:formatCode>
                <c:ptCount val="8"/>
                <c:pt idx="0">
                  <c:v>4.05</c:v>
                </c:pt>
                <c:pt idx="1">
                  <c:v>4.3</c:v>
                </c:pt>
                <c:pt idx="2">
                  <c:v>4.2</c:v>
                </c:pt>
                <c:pt idx="3">
                  <c:v>4.6</c:v>
                </c:pt>
                <c:pt idx="4">
                  <c:v>4.1</c:v>
                </c:pt>
                <c:pt idx="5">
                  <c:v>4.5</c:v>
                </c:pt>
                <c:pt idx="6">
                  <c:v>4.4</c:v>
                </c:pt>
                <c:pt idx="7">
                  <c:v>4.3</c:v>
                </c:pt>
              </c:numCache>
            </c:numRef>
          </c:val>
        </c:ser>
        <c:gapWidth val="150"/>
        <c:overlap val="0"/>
        <c:axId val="14001358"/>
        <c:axId val="93023205"/>
      </c:barChart>
      <c:catAx>
        <c:axId val="14001358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Avg Satisfaction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3023205"/>
        <c:crosses val="autoZero"/>
        <c:auto val="1"/>
        <c:lblAlgn val="ctr"/>
        <c:lblOffset val="100"/>
        <c:noMultiLvlLbl val="0"/>
      </c:catAx>
      <c:valAx>
        <c:axId val="930232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400135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Training Completion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Dashboard!B53</c:f>
              <c:strCache>
                <c:ptCount val="1"/>
                <c:pt idx="0">
                  <c:v>Completion Rate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Dashboard!$A$54:$A$59</c:f>
              <c:strCache>
                <c:ptCount val="6"/>
                <c:pt idx="0">
                  <c:v>Product</c:v>
                </c:pt>
                <c:pt idx="1">
                  <c:v>Engineering</c:v>
                </c:pt>
                <c:pt idx="2">
                  <c:v>Operations</c:v>
                </c:pt>
                <c:pt idx="3">
                  <c:v>Regulation</c:v>
                </c:pt>
                <c:pt idx="4">
                  <c:v>Data</c:v>
                </c:pt>
                <c:pt idx="5">
                  <c:v>Marketing</c:v>
                </c:pt>
              </c:strCache>
            </c:strRef>
          </c:cat>
          <c:val>
            <c:numRef>
              <c:f>Dashboard!$B$54:$B$59</c:f>
              <c:numCache>
                <c:formatCode>0%</c:formatCode>
                <c:ptCount val="6"/>
                <c:pt idx="0">
                  <c:v>1</c:v>
                </c:pt>
                <c:pt idx="1">
                  <c:v>1</c:v>
                </c:pt>
                <c:pt idx="2">
                  <c:v>0.5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</c:ser>
        <c:gapWidth val="150"/>
        <c:overlap val="0"/>
        <c:axId val="48888313"/>
        <c:axId val="43504624"/>
      </c:barChart>
      <c:catAx>
        <c:axId val="4888831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Department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3504624"/>
        <c:crosses val="autoZero"/>
        <c:auto val="1"/>
        <c:lblAlgn val="ctr"/>
        <c:lblOffset val="100"/>
        <c:noMultiLvlLbl val="0"/>
      </c:catAx>
      <c:valAx>
        <c:axId val="435046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Completion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888831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0</xdr:rowOff>
    </xdr:from>
    <xdr:to>
      <xdr:col>4</xdr:col>
      <xdr:colOff>684720</xdr:colOff>
      <xdr:row>24</xdr:row>
      <xdr:rowOff>21960</xdr:rowOff>
    </xdr:to>
    <xdr:graphicFrame>
      <xdr:nvGraphicFramePr>
        <xdr:cNvPr id="1" name="Chart 1"/>
        <xdr:cNvGraphicFramePr/>
      </xdr:nvGraphicFramePr>
      <xdr:xfrm>
        <a:off x="0" y="27432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9</xdr:row>
      <xdr:rowOff>0</xdr:rowOff>
    </xdr:from>
    <xdr:to>
      <xdr:col>9</xdr:col>
      <xdr:colOff>73080</xdr:colOff>
      <xdr:row>24</xdr:row>
      <xdr:rowOff>21960</xdr:rowOff>
    </xdr:to>
    <xdr:graphicFrame>
      <xdr:nvGraphicFramePr>
        <xdr:cNvPr id="2" name="Chart 2"/>
        <xdr:cNvGraphicFramePr/>
      </xdr:nvGraphicFramePr>
      <xdr:xfrm>
        <a:off x="5074920" y="27432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19</xdr:row>
      <xdr:rowOff>0</xdr:rowOff>
    </xdr:from>
    <xdr:to>
      <xdr:col>3</xdr:col>
      <xdr:colOff>513360</xdr:colOff>
      <xdr:row>34</xdr:row>
      <xdr:rowOff>22320</xdr:rowOff>
    </xdr:to>
    <xdr:graphicFrame>
      <xdr:nvGraphicFramePr>
        <xdr:cNvPr id="3" name="Chart 3"/>
        <xdr:cNvGraphicFramePr/>
      </xdr:nvGraphicFramePr>
      <xdr:xfrm>
        <a:off x="0" y="464832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0</xdr:colOff>
      <xdr:row>19</xdr:row>
      <xdr:rowOff>0</xdr:rowOff>
    </xdr:from>
    <xdr:to>
      <xdr:col>7</xdr:col>
      <xdr:colOff>1233360</xdr:colOff>
      <xdr:row>36</xdr:row>
      <xdr:rowOff>1080</xdr:rowOff>
    </xdr:to>
    <xdr:graphicFrame>
      <xdr:nvGraphicFramePr>
        <xdr:cNvPr id="4" name="Chart 4"/>
        <xdr:cNvGraphicFramePr/>
      </xdr:nvGraphicFramePr>
      <xdr:xfrm>
        <a:off x="5074920" y="464832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34</xdr:row>
      <xdr:rowOff>0</xdr:rowOff>
    </xdr:from>
    <xdr:to>
      <xdr:col>4</xdr:col>
      <xdr:colOff>684720</xdr:colOff>
      <xdr:row>51</xdr:row>
      <xdr:rowOff>1080</xdr:rowOff>
    </xdr:to>
    <xdr:graphicFrame>
      <xdr:nvGraphicFramePr>
        <xdr:cNvPr id="5" name="Chart 5"/>
        <xdr:cNvGraphicFramePr/>
      </xdr:nvGraphicFramePr>
      <xdr:xfrm>
        <a:off x="0" y="75056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7" min="5" style="0" width="12"/>
    <col collapsed="false" customWidth="true" hidden="false" outlineLevel="0" max="9" min="8" style="0" width="13"/>
    <col collapsed="false" customWidth="true" hidden="false" outlineLevel="0" max="11" min="10" style="0" width="16"/>
    <col collapsed="false" customWidth="true" hidden="false" outlineLevel="0" max="12" min="12" style="0" width="14"/>
    <col collapsed="false" customWidth="true" hidden="false" outlineLevel="0" max="14" min="13" style="0" width="16"/>
    <col collapsed="false" customWidth="true" hidden="false" outlineLevel="0" max="15" min="15" style="0" width="12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n">
        <v>3</v>
      </c>
      <c r="G2" s="2" t="n">
        <v>4.3</v>
      </c>
      <c r="H2" s="2" t="n">
        <v>3.2</v>
      </c>
      <c r="I2" s="2" t="n">
        <v>4.2</v>
      </c>
      <c r="J2" s="2" t="n">
        <v>3.4</v>
      </c>
      <c r="K2" s="2" t="n">
        <v>4.1</v>
      </c>
      <c r="L2" s="2" t="s">
        <v>19</v>
      </c>
      <c r="M2" s="2" t="n">
        <v>12</v>
      </c>
      <c r="N2" s="2" t="n">
        <v>8</v>
      </c>
      <c r="O2" s="2" t="n">
        <v>4.5</v>
      </c>
    </row>
    <row r="3" customFormat="false" ht="15" hidden="false" customHeight="false" outlineLevel="0" collapsed="false">
      <c r="A3" s="3" t="s">
        <v>20</v>
      </c>
      <c r="B3" s="3" t="s">
        <v>21</v>
      </c>
      <c r="C3" s="3" t="s">
        <v>22</v>
      </c>
      <c r="D3" s="3" t="s">
        <v>0</v>
      </c>
      <c r="E3" s="3" t="s">
        <v>19</v>
      </c>
      <c r="F3" s="3" t="n">
        <v>2.8</v>
      </c>
      <c r="G3" s="3" t="n">
        <v>4.1</v>
      </c>
      <c r="H3" s="3" t="n">
        <v>3</v>
      </c>
      <c r="I3" s="3" t="n">
        <v>4</v>
      </c>
      <c r="J3" s="3" t="n">
        <v>3.1</v>
      </c>
      <c r="K3" s="3" t="n">
        <v>3.9</v>
      </c>
      <c r="L3" s="3" t="s">
        <v>19</v>
      </c>
      <c r="M3" s="3" t="n">
        <v>14</v>
      </c>
      <c r="N3" s="3" t="n">
        <v>9</v>
      </c>
      <c r="O3" s="3" t="n">
        <v>4.4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0</v>
      </c>
      <c r="E4" s="2" t="s">
        <v>19</v>
      </c>
      <c r="F4" s="2" t="n">
        <v>2.7</v>
      </c>
      <c r="G4" s="2" t="n">
        <v>4</v>
      </c>
      <c r="H4" s="2" t="n">
        <v>2.9</v>
      </c>
      <c r="I4" s="2" t="n">
        <v>4</v>
      </c>
      <c r="J4" s="2" t="n">
        <v>3.2</v>
      </c>
      <c r="K4" s="2" t="n">
        <v>4</v>
      </c>
      <c r="L4" s="2" t="s">
        <v>19</v>
      </c>
      <c r="M4" s="2" t="n">
        <v>13</v>
      </c>
      <c r="N4" s="2" t="n">
        <v>9</v>
      </c>
      <c r="O4" s="2" t="n">
        <v>4.2</v>
      </c>
    </row>
    <row r="5" customFormat="false" ht="15" hidden="false" customHeight="false" outlineLevel="0" collapsed="false">
      <c r="A5" s="3" t="s">
        <v>26</v>
      </c>
      <c r="B5" s="3" t="s">
        <v>27</v>
      </c>
      <c r="C5" s="3" t="s">
        <v>28</v>
      </c>
      <c r="D5" s="3" t="s">
        <v>18</v>
      </c>
      <c r="E5" s="3" t="s">
        <v>19</v>
      </c>
      <c r="F5" s="3" t="n">
        <v>3.1</v>
      </c>
      <c r="G5" s="3" t="n">
        <v>4.4</v>
      </c>
      <c r="H5" s="3" t="n">
        <v>3.3</v>
      </c>
      <c r="I5" s="3" t="n">
        <v>4.3</v>
      </c>
      <c r="J5" s="3" t="n">
        <v>3.5</v>
      </c>
      <c r="K5" s="3" t="n">
        <v>4.2</v>
      </c>
      <c r="L5" s="3" t="s">
        <v>19</v>
      </c>
      <c r="M5" s="3" t="n">
        <v>11</v>
      </c>
      <c r="N5" s="3" t="n">
        <v>8</v>
      </c>
      <c r="O5" s="3" t="n">
        <v>4.6</v>
      </c>
    </row>
    <row r="6" customFormat="false" ht="15" hidden="false" customHeight="false" outlineLevel="0" collapsed="false">
      <c r="A6" s="2" t="s">
        <v>29</v>
      </c>
      <c r="B6" s="2" t="s">
        <v>30</v>
      </c>
      <c r="C6" s="2" t="s">
        <v>17</v>
      </c>
      <c r="D6" s="2" t="s">
        <v>0</v>
      </c>
      <c r="E6" s="2" t="s">
        <v>19</v>
      </c>
      <c r="F6" s="2" t="n">
        <v>2.6</v>
      </c>
      <c r="G6" s="2" t="n">
        <v>4</v>
      </c>
      <c r="H6" s="2" t="n">
        <v>3</v>
      </c>
      <c r="I6" s="2" t="n">
        <v>4.1</v>
      </c>
      <c r="J6" s="2" t="n">
        <v>3.1</v>
      </c>
      <c r="K6" s="2" t="n">
        <v>3.8</v>
      </c>
      <c r="L6" s="2" t="s">
        <v>31</v>
      </c>
      <c r="M6" s="2" t="n">
        <v>15</v>
      </c>
      <c r="N6" s="2" t="n">
        <v>11</v>
      </c>
      <c r="O6" s="2" t="n">
        <v>4.1</v>
      </c>
    </row>
    <row r="7" customFormat="false" ht="15" hidden="false" customHeight="false" outlineLevel="0" collapsed="false">
      <c r="A7" s="3" t="s">
        <v>32</v>
      </c>
      <c r="B7" s="3" t="s">
        <v>33</v>
      </c>
      <c r="C7" s="3" t="s">
        <v>34</v>
      </c>
      <c r="D7" s="3" t="s">
        <v>18</v>
      </c>
      <c r="E7" s="3" t="s">
        <v>19</v>
      </c>
      <c r="F7" s="3" t="n">
        <v>3</v>
      </c>
      <c r="G7" s="3" t="n">
        <v>4.2</v>
      </c>
      <c r="H7" s="3" t="n">
        <v>3.1</v>
      </c>
      <c r="I7" s="3" t="n">
        <v>4.1</v>
      </c>
      <c r="J7" s="3" t="n">
        <v>3.3</v>
      </c>
      <c r="K7" s="3" t="n">
        <v>4</v>
      </c>
      <c r="L7" s="3" t="s">
        <v>19</v>
      </c>
      <c r="M7" s="3" t="n">
        <v>12</v>
      </c>
      <c r="N7" s="3" t="n">
        <v>8</v>
      </c>
      <c r="O7" s="3" t="n">
        <v>4.5</v>
      </c>
    </row>
    <row r="8" customFormat="false" ht="15" hidden="false" customHeight="false" outlineLevel="0" collapsed="false">
      <c r="A8" s="2" t="s">
        <v>35</v>
      </c>
      <c r="B8" s="2" t="s">
        <v>36</v>
      </c>
      <c r="C8" s="2" t="s">
        <v>37</v>
      </c>
      <c r="D8" s="2" t="s">
        <v>0</v>
      </c>
      <c r="E8" s="2" t="s">
        <v>19</v>
      </c>
      <c r="F8" s="2" t="n">
        <v>2.9</v>
      </c>
      <c r="G8" s="2" t="n">
        <v>4.1</v>
      </c>
      <c r="H8" s="2" t="n">
        <v>3.2</v>
      </c>
      <c r="I8" s="2" t="n">
        <v>4.2</v>
      </c>
      <c r="J8" s="2" t="n">
        <v>3.4</v>
      </c>
      <c r="K8" s="2" t="n">
        <v>4.1</v>
      </c>
      <c r="L8" s="2" t="s">
        <v>19</v>
      </c>
      <c r="M8" s="2" t="n">
        <v>10</v>
      </c>
      <c r="N8" s="2" t="n">
        <v>7</v>
      </c>
      <c r="O8" s="2" t="n">
        <v>4.4</v>
      </c>
    </row>
    <row r="9" customFormat="false" ht="15" hidden="false" customHeight="false" outlineLevel="0" collapsed="false">
      <c r="A9" s="3" t="s">
        <v>38</v>
      </c>
      <c r="B9" s="3" t="s">
        <v>39</v>
      </c>
      <c r="C9" s="3" t="s">
        <v>22</v>
      </c>
      <c r="D9" s="3" t="s">
        <v>18</v>
      </c>
      <c r="E9" s="3" t="s">
        <v>19</v>
      </c>
      <c r="F9" s="3" t="n">
        <v>2.8</v>
      </c>
      <c r="G9" s="3" t="n">
        <v>4</v>
      </c>
      <c r="H9" s="3" t="n">
        <v>3</v>
      </c>
      <c r="I9" s="3" t="n">
        <v>3.9</v>
      </c>
      <c r="J9" s="3" t="n">
        <v>3.2</v>
      </c>
      <c r="K9" s="3" t="n">
        <v>3.9</v>
      </c>
      <c r="L9" s="3" t="s">
        <v>19</v>
      </c>
      <c r="M9" s="3" t="n">
        <v>13</v>
      </c>
      <c r="N9" s="3" t="n">
        <v>9</v>
      </c>
      <c r="O9" s="3" t="n">
        <v>4.3</v>
      </c>
    </row>
    <row r="10" customFormat="false" ht="15" hidden="false" customHeight="false" outlineLevel="0" collapsed="false">
      <c r="A10" s="2" t="s">
        <v>40</v>
      </c>
      <c r="B10" s="2" t="s">
        <v>16</v>
      </c>
      <c r="C10" s="2" t="s">
        <v>25</v>
      </c>
      <c r="D10" s="2" t="s">
        <v>0</v>
      </c>
      <c r="E10" s="2" t="s">
        <v>31</v>
      </c>
      <c r="F10" s="2" t="n">
        <v>2.9</v>
      </c>
      <c r="G10" s="2" t="n">
        <v>3.2</v>
      </c>
      <c r="H10" s="2" t="n">
        <v>3.1</v>
      </c>
      <c r="I10" s="2" t="n">
        <v>3.3</v>
      </c>
      <c r="J10" s="2" t="n">
        <v>3.2</v>
      </c>
      <c r="K10" s="2" t="n">
        <v>3.4</v>
      </c>
      <c r="L10" s="2" t="s">
        <v>31</v>
      </c>
      <c r="M10" s="2" t="n">
        <v>12</v>
      </c>
      <c r="N10" s="2" t="n">
        <v>12</v>
      </c>
      <c r="O10" s="2" t="n">
        <v>3.6</v>
      </c>
    </row>
    <row r="11" customFormat="false" ht="15" hidden="false" customHeight="false" outlineLevel="0" collapsed="false">
      <c r="A11" s="3" t="s">
        <v>41</v>
      </c>
      <c r="B11" s="3" t="s">
        <v>21</v>
      </c>
      <c r="C11" s="3" t="s">
        <v>17</v>
      </c>
      <c r="D11" s="3" t="s">
        <v>0</v>
      </c>
      <c r="E11" s="3" t="s">
        <v>19</v>
      </c>
      <c r="F11" s="3" t="n">
        <v>2.7</v>
      </c>
      <c r="G11" s="3" t="n">
        <v>4.1</v>
      </c>
      <c r="H11" s="3" t="n">
        <v>2.9</v>
      </c>
      <c r="I11" s="3" t="n">
        <v>4</v>
      </c>
      <c r="J11" s="3" t="n">
        <v>3</v>
      </c>
      <c r="K11" s="3" t="n">
        <v>3.9</v>
      </c>
      <c r="L11" s="3" t="s">
        <v>19</v>
      </c>
      <c r="M11" s="3" t="n">
        <v>14</v>
      </c>
      <c r="N11" s="3" t="n">
        <v>10</v>
      </c>
      <c r="O11" s="3" t="n">
        <v>4.2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</cols>
  <sheetData>
    <row r="1" customFormat="false" ht="27.75" hidden="false" customHeight="true" outlineLevel="0" collapsed="false">
      <c r="A1" s="1" t="s">
        <v>42</v>
      </c>
      <c r="B1" s="1" t="s">
        <v>43</v>
      </c>
    </row>
    <row r="2" customFormat="false" ht="15" hidden="false" customHeight="false" outlineLevel="0" collapsed="false">
      <c r="A2" s="4" t="s">
        <v>44</v>
      </c>
      <c r="B2" s="5" t="s">
        <v>45</v>
      </c>
    </row>
    <row r="3" customFormat="false" ht="15" hidden="false" customHeight="false" outlineLevel="0" collapsed="false">
      <c r="A3" s="6" t="s">
        <v>46</v>
      </c>
      <c r="B3" s="7" t="s">
        <v>47</v>
      </c>
    </row>
    <row r="4" customFormat="false" ht="15" hidden="false" customHeight="false" outlineLevel="0" collapsed="false">
      <c r="A4" s="4" t="s">
        <v>48</v>
      </c>
      <c r="B4" s="5" t="s">
        <v>49</v>
      </c>
    </row>
    <row r="5" customFormat="false" ht="15" hidden="false" customHeight="false" outlineLevel="0" collapsed="false">
      <c r="A5" s="6" t="s">
        <v>50</v>
      </c>
      <c r="B5" s="7" t="s">
        <v>51</v>
      </c>
    </row>
    <row r="6" customFormat="false" ht="15" hidden="false" customHeight="false" outlineLevel="0" collapsed="false">
      <c r="A6" s="4" t="s">
        <v>52</v>
      </c>
      <c r="B6" s="5" t="s">
        <v>53</v>
      </c>
    </row>
    <row r="7" customFormat="false" ht="15" hidden="false" customHeight="false" outlineLevel="0" collapsed="false">
      <c r="A7" s="6" t="s">
        <v>54</v>
      </c>
      <c r="B7" s="7" t="s">
        <v>55</v>
      </c>
    </row>
    <row r="8" customFormat="false" ht="15" hidden="false" customHeight="false" outlineLevel="0" collapsed="false">
      <c r="A8" s="4" t="s">
        <v>9</v>
      </c>
      <c r="B8" s="5" t="s">
        <v>56</v>
      </c>
    </row>
    <row r="9" customFormat="false" ht="15" hidden="false" customHeight="false" outlineLevel="0" collapsed="false">
      <c r="A9" s="6" t="s">
        <v>10</v>
      </c>
      <c r="B9" s="7" t="s">
        <v>57</v>
      </c>
    </row>
    <row r="10" customFormat="false" ht="15" hidden="false" customHeight="false" outlineLevel="0" collapsed="false">
      <c r="A10" s="4" t="s">
        <v>58</v>
      </c>
      <c r="B10" s="5" t="s">
        <v>59</v>
      </c>
    </row>
    <row r="11" customFormat="false" ht="15" hidden="false" customHeight="false" outlineLevel="0" collapsed="false">
      <c r="A11" s="6" t="s">
        <v>60</v>
      </c>
      <c r="B11" s="7" t="s">
        <v>61</v>
      </c>
    </row>
    <row r="12" customFormat="false" ht="15" hidden="false" customHeight="false" outlineLevel="0" collapsed="false">
      <c r="A12" s="4" t="s">
        <v>62</v>
      </c>
      <c r="B12" s="5" t="s">
        <v>63</v>
      </c>
    </row>
    <row r="13" customFormat="false" ht="15" hidden="false" customHeight="false" outlineLevel="0" collapsed="false">
      <c r="A13" s="6" t="s">
        <v>64</v>
      </c>
      <c r="B13" s="7" t="s">
        <v>65</v>
      </c>
    </row>
    <row r="14" customFormat="false" ht="15" hidden="false" customHeight="false" outlineLevel="0" collapsed="false">
      <c r="A14" s="4" t="s">
        <v>66</v>
      </c>
      <c r="B14" s="5" t="s">
        <v>67</v>
      </c>
    </row>
    <row r="15" customFormat="false" ht="15" hidden="false" customHeight="false" outlineLevel="0" collapsed="false">
      <c r="A15" s="6" t="s">
        <v>68</v>
      </c>
      <c r="B15" s="7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8" min="1" style="0" width="18"/>
  </cols>
  <sheetData>
    <row r="1" customFormat="false" ht="27.75" hidden="false" customHeight="true" outlineLevel="0" collapsed="false">
      <c r="A1" s="8" t="s">
        <v>70</v>
      </c>
      <c r="B1" s="8"/>
      <c r="C1" s="8"/>
      <c r="D1" s="8"/>
      <c r="E1" s="8"/>
      <c r="F1" s="8"/>
      <c r="G1" s="8"/>
      <c r="H1" s="8"/>
    </row>
    <row r="2" customFormat="false" ht="27.75" hidden="false" customHeight="true" outlineLevel="0" collapsed="false">
      <c r="A2" s="8"/>
      <c r="B2" s="8"/>
      <c r="C2" s="8"/>
      <c r="D2" s="8"/>
      <c r="E2" s="8"/>
      <c r="F2" s="8"/>
      <c r="G2" s="8"/>
      <c r="H2" s="8"/>
    </row>
    <row r="4" customFormat="false" ht="21.75" hidden="false" customHeight="true" outlineLevel="0" collapsed="false">
      <c r="A4" s="9" t="s">
        <v>71</v>
      </c>
      <c r="B4" s="9"/>
      <c r="C4" s="10" t="s">
        <v>72</v>
      </c>
      <c r="D4" s="10"/>
      <c r="E4" s="11" t="s">
        <v>73</v>
      </c>
      <c r="F4" s="11"/>
      <c r="G4" s="12" t="s">
        <v>74</v>
      </c>
      <c r="H4" s="12"/>
    </row>
    <row r="5" customFormat="false" ht="36" hidden="false" customHeight="true" outlineLevel="0" collapsed="false">
      <c r="A5" s="13" t="s">
        <v>47</v>
      </c>
      <c r="B5" s="13"/>
      <c r="C5" s="14" t="s">
        <v>75</v>
      </c>
      <c r="D5" s="14"/>
      <c r="E5" s="15" t="s">
        <v>76</v>
      </c>
      <c r="F5" s="15"/>
      <c r="G5" s="16" t="s">
        <v>77</v>
      </c>
      <c r="H5" s="16"/>
    </row>
    <row r="7" customFormat="false" ht="21.75" hidden="false" customHeight="true" outlineLevel="0" collapsed="false">
      <c r="A7" s="17" t="s">
        <v>78</v>
      </c>
      <c r="B7" s="17"/>
      <c r="C7" s="18" t="s">
        <v>64</v>
      </c>
      <c r="D7" s="18"/>
      <c r="E7" s="19" t="s">
        <v>79</v>
      </c>
      <c r="F7" s="19"/>
      <c r="G7" s="20" t="s">
        <v>14</v>
      </c>
      <c r="H7" s="20"/>
    </row>
    <row r="8" customFormat="false" ht="36" hidden="false" customHeight="true" outlineLevel="0" collapsed="false">
      <c r="A8" s="21" t="s">
        <v>63</v>
      </c>
      <c r="B8" s="21"/>
      <c r="C8" s="22" t="s">
        <v>65</v>
      </c>
      <c r="D8" s="22"/>
      <c r="E8" s="23" t="s">
        <v>67</v>
      </c>
      <c r="F8" s="23"/>
      <c r="G8" s="24" t="s">
        <v>69</v>
      </c>
      <c r="H8" s="24"/>
    </row>
    <row r="30" customFormat="false" ht="15" hidden="false" customHeight="false" outlineLevel="0" collapsed="false">
      <c r="A30" s="25" t="s">
        <v>80</v>
      </c>
      <c r="B30" s="25" t="s">
        <v>81</v>
      </c>
      <c r="C30" s="25" t="s">
        <v>82</v>
      </c>
    </row>
    <row r="31" customFormat="false" ht="15" hidden="false" customHeight="false" outlineLevel="0" collapsed="false">
      <c r="A31" s="0" t="s">
        <v>72</v>
      </c>
      <c r="B31" s="0" t="n">
        <v>2.9</v>
      </c>
      <c r="C31" s="0" t="n">
        <v>4.2</v>
      </c>
    </row>
    <row r="32" customFormat="false" ht="15" hidden="false" customHeight="false" outlineLevel="0" collapsed="false">
      <c r="A32" s="0" t="s">
        <v>83</v>
      </c>
      <c r="B32" s="0" t="n">
        <v>3.1</v>
      </c>
      <c r="C32" s="0" t="n">
        <v>4.1</v>
      </c>
    </row>
    <row r="33" customFormat="false" ht="15" hidden="false" customHeight="false" outlineLevel="0" collapsed="false">
      <c r="A33" s="0" t="s">
        <v>74</v>
      </c>
      <c r="B33" s="0" t="n">
        <v>3.3</v>
      </c>
      <c r="C33" s="0" t="n">
        <v>4</v>
      </c>
    </row>
    <row r="35" customFormat="false" ht="15" hidden="false" customHeight="false" outlineLevel="0" collapsed="false">
      <c r="A35" s="25" t="s">
        <v>84</v>
      </c>
      <c r="B35" s="25" t="s">
        <v>85</v>
      </c>
    </row>
    <row r="36" customFormat="false" ht="15" hidden="false" customHeight="false" outlineLevel="0" collapsed="false">
      <c r="A36" s="0" t="s">
        <v>81</v>
      </c>
      <c r="B36" s="0" t="n">
        <v>12</v>
      </c>
    </row>
    <row r="37" customFormat="false" ht="15" hidden="false" customHeight="false" outlineLevel="0" collapsed="false">
      <c r="A37" s="0" t="s">
        <v>82</v>
      </c>
      <c r="B37" s="0" t="n">
        <v>8.6</v>
      </c>
    </row>
    <row r="39" customFormat="false" ht="15" hidden="false" customHeight="false" outlineLevel="0" collapsed="false">
      <c r="A39" s="25" t="s">
        <v>86</v>
      </c>
      <c r="B39" s="25" t="s">
        <v>87</v>
      </c>
    </row>
    <row r="40" customFormat="false" ht="15" hidden="false" customHeight="false" outlineLevel="0" collapsed="false">
      <c r="A40" s="0" t="s">
        <v>88</v>
      </c>
      <c r="B40" s="0" t="n">
        <v>73</v>
      </c>
    </row>
    <row r="41" customFormat="false" ht="15" hidden="false" customHeight="false" outlineLevel="0" collapsed="false">
      <c r="A41" s="0" t="s">
        <v>89</v>
      </c>
      <c r="B41" s="0" t="n">
        <v>27</v>
      </c>
    </row>
    <row r="43" customFormat="false" ht="15" hidden="false" customHeight="false" outlineLevel="0" collapsed="false">
      <c r="A43" s="25" t="s">
        <v>1</v>
      </c>
      <c r="B43" s="25" t="s">
        <v>90</v>
      </c>
    </row>
    <row r="44" customFormat="false" ht="15" hidden="false" customHeight="false" outlineLevel="0" collapsed="false">
      <c r="A44" s="0" t="s">
        <v>16</v>
      </c>
      <c r="B44" s="0" t="n">
        <f aca="false">AVERAGEIF('Raw Data'!B:B,"US",'Raw Data'!O:O)</f>
        <v>4.05</v>
      </c>
    </row>
    <row r="45" customFormat="false" ht="15" hidden="false" customHeight="false" outlineLevel="0" collapsed="false">
      <c r="A45" s="0" t="s">
        <v>21</v>
      </c>
      <c r="B45" s="0" t="n">
        <f aca="false">AVERAGEIF('Raw Data'!B:B,"India",'Raw Data'!O:O)</f>
        <v>4.3</v>
      </c>
    </row>
    <row r="46" customFormat="false" ht="15" hidden="false" customHeight="false" outlineLevel="0" collapsed="false">
      <c r="A46" s="0" t="s">
        <v>24</v>
      </c>
      <c r="B46" s="0" t="n">
        <f aca="false">AVERAGEIF('Raw Data'!B:B,"Brazil",'Raw Data'!O:O)</f>
        <v>4.2</v>
      </c>
    </row>
    <row r="47" customFormat="false" ht="15" hidden="false" customHeight="false" outlineLevel="0" collapsed="false">
      <c r="A47" s="0" t="s">
        <v>27</v>
      </c>
      <c r="B47" s="0" t="n">
        <f aca="false">AVERAGEIF('Raw Data'!B:B,"Germany",'Raw Data'!O:O)</f>
        <v>4.6</v>
      </c>
    </row>
    <row r="48" customFormat="false" ht="15" hidden="false" customHeight="false" outlineLevel="0" collapsed="false">
      <c r="A48" s="0" t="s">
        <v>30</v>
      </c>
      <c r="B48" s="0" t="n">
        <f aca="false">AVERAGEIF('Raw Data'!B:B,"Japan",'Raw Data'!O:O)</f>
        <v>4.1</v>
      </c>
    </row>
    <row r="49" customFormat="false" ht="15" hidden="false" customHeight="false" outlineLevel="0" collapsed="false">
      <c r="A49" s="0" t="s">
        <v>33</v>
      </c>
      <c r="B49" s="0" t="n">
        <f aca="false">AVERAGEIF('Raw Data'!B:B,"Israel",'Raw Data'!O:O)</f>
        <v>4.5</v>
      </c>
    </row>
    <row r="50" customFormat="false" ht="15" hidden="false" customHeight="false" outlineLevel="0" collapsed="false">
      <c r="A50" s="0" t="s">
        <v>36</v>
      </c>
      <c r="B50" s="0" t="n">
        <f aca="false">AVERAGEIF('Raw Data'!B:B,"UK",'Raw Data'!O:O)</f>
        <v>4.4</v>
      </c>
    </row>
    <row r="51" customFormat="false" ht="15" hidden="false" customHeight="false" outlineLevel="0" collapsed="false">
      <c r="A51" s="0" t="s">
        <v>39</v>
      </c>
      <c r="B51" s="0" t="n">
        <f aca="false">AVERAGEIF('Raw Data'!B:B,"Singapore",'Raw Data'!O:O)</f>
        <v>4.3</v>
      </c>
    </row>
    <row r="53" customFormat="false" ht="15" hidden="false" customHeight="false" outlineLevel="0" collapsed="false">
      <c r="A53" s="25" t="s">
        <v>2</v>
      </c>
      <c r="B53" s="25" t="s">
        <v>91</v>
      </c>
    </row>
    <row r="54" customFormat="false" ht="15" hidden="false" customHeight="false" outlineLevel="0" collapsed="false">
      <c r="A54" s="0" t="s">
        <v>17</v>
      </c>
      <c r="B54" s="26" t="n">
        <f aca="false">IFERROR(COUNTIFS('Raw Data'!C:C,"Product",'Raw Data'!E:E,"Yes")/COUNTIF('Raw Data'!C:C,"Product"),0)</f>
        <v>1</v>
      </c>
    </row>
    <row r="55" customFormat="false" ht="15" hidden="false" customHeight="false" outlineLevel="0" collapsed="false">
      <c r="A55" s="0" t="s">
        <v>22</v>
      </c>
      <c r="B55" s="26" t="n">
        <f aca="false">IFERROR(COUNTIFS('Raw Data'!C:C,"Engineering",'Raw Data'!E:E,"Yes")/COUNTIF('Raw Data'!C:C,"Engineering"),0)</f>
        <v>1</v>
      </c>
    </row>
    <row r="56" customFormat="false" ht="15" hidden="false" customHeight="false" outlineLevel="0" collapsed="false">
      <c r="A56" s="0" t="s">
        <v>25</v>
      </c>
      <c r="B56" s="26" t="n">
        <f aca="false">IFERROR(COUNTIFS('Raw Data'!C:C,"Operations",'Raw Data'!E:E,"Yes")/COUNTIF('Raw Data'!C:C,"Operations"),0)</f>
        <v>0.5</v>
      </c>
    </row>
    <row r="57" customFormat="false" ht="15" hidden="false" customHeight="false" outlineLevel="0" collapsed="false">
      <c r="A57" s="0" t="s">
        <v>28</v>
      </c>
      <c r="B57" s="26" t="n">
        <f aca="false">IFERROR(COUNTIFS('Raw Data'!C:C,"Regulation",'Raw Data'!E:E,"Yes")/COUNTIF('Raw Data'!C:C,"Regulation"),0)</f>
        <v>1</v>
      </c>
    </row>
    <row r="58" customFormat="false" ht="15" hidden="false" customHeight="false" outlineLevel="0" collapsed="false">
      <c r="A58" s="0" t="s">
        <v>34</v>
      </c>
      <c r="B58" s="26" t="n">
        <f aca="false">IFERROR(COUNTIFS('Raw Data'!C:C,"Data",'Raw Data'!E:E,"Yes")/COUNTIF('Raw Data'!C:C,"Data"),0)</f>
        <v>1</v>
      </c>
    </row>
    <row r="59" customFormat="false" ht="15" hidden="false" customHeight="false" outlineLevel="0" collapsed="false">
      <c r="A59" s="0" t="s">
        <v>37</v>
      </c>
      <c r="B59" s="26" t="n">
        <f aca="false">IFERROR(COUNTIFS('Raw Data'!C:C,"Marketing",'Raw Data'!E:E,"Yes")/COUNTIF('Raw Data'!C:C,"Marketing"),0)</f>
        <v>1</v>
      </c>
    </row>
    <row r="65" customFormat="false" ht="25.5" hidden="false" customHeight="true" outlineLevel="0" collapsed="false">
      <c r="A65" s="27" t="s">
        <v>92</v>
      </c>
      <c r="B65" s="27"/>
      <c r="C65" s="27"/>
      <c r="D65" s="27"/>
      <c r="E65" s="27"/>
      <c r="F65" s="27"/>
      <c r="G65" s="27"/>
      <c r="H65" s="27"/>
    </row>
    <row r="66" customFormat="false" ht="21.75" hidden="false" customHeight="true" outlineLevel="0" collapsed="false">
      <c r="A66" s="28" t="s">
        <v>93</v>
      </c>
      <c r="B66" s="28"/>
      <c r="C66" s="28"/>
      <c r="D66" s="28"/>
      <c r="E66" s="28"/>
      <c r="F66" s="28"/>
      <c r="G66" s="28"/>
      <c r="H66" s="28"/>
    </row>
    <row r="67" customFormat="false" ht="21.75" hidden="false" customHeight="true" outlineLevel="0" collapsed="false">
      <c r="A67" s="29" t="s">
        <v>94</v>
      </c>
      <c r="B67" s="29"/>
      <c r="C67" s="29"/>
      <c r="D67" s="29"/>
      <c r="E67" s="29"/>
      <c r="F67" s="29"/>
      <c r="G67" s="29"/>
      <c r="H67" s="29"/>
    </row>
    <row r="68" customFormat="false" ht="21.75" hidden="false" customHeight="true" outlineLevel="0" collapsed="false">
      <c r="A68" s="28" t="s">
        <v>95</v>
      </c>
      <c r="B68" s="28"/>
      <c r="C68" s="28"/>
      <c r="D68" s="28"/>
      <c r="E68" s="28"/>
      <c r="F68" s="28"/>
      <c r="G68" s="28"/>
      <c r="H68" s="28"/>
    </row>
    <row r="69" customFormat="false" ht="21.75" hidden="false" customHeight="true" outlineLevel="0" collapsed="false">
      <c r="A69" s="29" t="s">
        <v>96</v>
      </c>
      <c r="B69" s="29"/>
      <c r="C69" s="29"/>
      <c r="D69" s="29"/>
      <c r="E69" s="29"/>
      <c r="F69" s="29"/>
      <c r="G69" s="29"/>
      <c r="H69" s="29"/>
    </row>
    <row r="70" customFormat="false" ht="21.75" hidden="false" customHeight="true" outlineLevel="0" collapsed="false">
      <c r="A70" s="28" t="s">
        <v>97</v>
      </c>
      <c r="B70" s="28"/>
      <c r="C70" s="28"/>
      <c r="D70" s="28"/>
      <c r="E70" s="28"/>
      <c r="F70" s="28"/>
      <c r="G70" s="28"/>
      <c r="H70" s="28"/>
    </row>
    <row r="71" customFormat="false" ht="21.75" hidden="false" customHeight="true" outlineLevel="0" collapsed="false">
      <c r="A71" s="29" t="s">
        <v>98</v>
      </c>
      <c r="B71" s="29"/>
      <c r="C71" s="29"/>
      <c r="D71" s="29"/>
      <c r="E71" s="29"/>
      <c r="F71" s="29"/>
      <c r="G71" s="29"/>
      <c r="H71" s="29"/>
    </row>
  </sheetData>
  <mergeCells count="24">
    <mergeCell ref="A1:H2"/>
    <mergeCell ref="A4:B4"/>
    <mergeCell ref="C4:D4"/>
    <mergeCell ref="E4:F4"/>
    <mergeCell ref="G4:H4"/>
    <mergeCell ref="A5:B5"/>
    <mergeCell ref="C5:D5"/>
    <mergeCell ref="E5:F5"/>
    <mergeCell ref="G5:H5"/>
    <mergeCell ref="A7:B7"/>
    <mergeCell ref="C7:D7"/>
    <mergeCell ref="E7:F7"/>
    <mergeCell ref="G7:H7"/>
    <mergeCell ref="A8:B8"/>
    <mergeCell ref="C8:D8"/>
    <mergeCell ref="E8:F8"/>
    <mergeCell ref="G8:H8"/>
    <mergeCell ref="A65:H65"/>
    <mergeCell ref="A66:H66"/>
    <mergeCell ref="A67:H67"/>
    <mergeCell ref="A68:H68"/>
    <mergeCell ref="A69:H69"/>
    <mergeCell ref="A70:H70"/>
    <mergeCell ref="A71:H7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2026-05-03T14:45:08Z</dcterms:created>
  <dc:creator>openpyxl</dc:creator>
  <dc:description/>
  <dc:language>en-US</dc:language>
  <cp:lastModifiedBy/>
  <dcterms:modified xsi:type="dcterms:W3CDTF">2026-05-03T14:45:11Z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