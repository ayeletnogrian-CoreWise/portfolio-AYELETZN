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KPI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<sst xmlns="http://schemas.openxmlformats.org/spreadsheetml/2006/main" count="134" uniqueCount="75">
  <si>
    <t xml:space="preserve">Change Adoption — Raw Data</t>
  </si>
  <si>
    <t xml:space="preserve">Employee</t>
  </si>
  <si>
    <t xml:space="preserve">Department</t>
  </si>
  <si>
    <t xml:space="preserve">Region</t>
  </si>
  <si>
    <t xml:space="preserve">Manager</t>
  </si>
  <si>
    <t xml:space="preserve">Training Completed</t>
  </si>
  <si>
    <t xml:space="preserve">Change Clarity Before</t>
  </si>
  <si>
    <t xml:space="preserve">Change Clarity After</t>
  </si>
  <si>
    <t xml:space="preserve">Manager Confidence Before</t>
  </si>
  <si>
    <t xml:space="preserve">Manager Confidence After</t>
  </si>
  <si>
    <t xml:space="preserve">Role Impact Maps Submitted</t>
  </si>
  <si>
    <t xml:space="preserve">Team Adoption Actions</t>
  </si>
  <si>
    <t xml:space="preserve">Satisfaction</t>
  </si>
  <si>
    <t xml:space="preserve">Knowledge Hub Visits</t>
  </si>
  <si>
    <t xml:space="preserve">Employee 1</t>
  </si>
  <si>
    <t xml:space="preserve">Sales</t>
  </si>
  <si>
    <t xml:space="preserve">EMEA</t>
  </si>
  <si>
    <t xml:space="preserve">Manager A</t>
  </si>
  <si>
    <t xml:space="preserve">Yes</t>
  </si>
  <si>
    <t xml:space="preserve">Employee 2</t>
  </si>
  <si>
    <t xml:space="preserve">Customer Success</t>
  </si>
  <si>
    <t xml:space="preserve">US</t>
  </si>
  <si>
    <t xml:space="preserve">Manager B</t>
  </si>
  <si>
    <t xml:space="preserve">Employee 3</t>
  </si>
  <si>
    <t xml:space="preserve">Product</t>
  </si>
  <si>
    <t xml:space="preserve">APAC</t>
  </si>
  <si>
    <t xml:space="preserve">Manager C</t>
  </si>
  <si>
    <t xml:space="preserve">Employee 4</t>
  </si>
  <si>
    <t xml:space="preserve">Support</t>
  </si>
  <si>
    <t xml:space="preserve">Manager D</t>
  </si>
  <si>
    <t xml:space="preserve">Employee 5</t>
  </si>
  <si>
    <t xml:space="preserve">Marketing</t>
  </si>
  <si>
    <t xml:space="preserve">Manager E</t>
  </si>
  <si>
    <t xml:space="preserve">No</t>
  </si>
  <si>
    <t xml:space="preserve">Employee 6</t>
  </si>
  <si>
    <t xml:space="preserve">Engineering</t>
  </si>
  <si>
    <t xml:space="preserve">Employee 7</t>
  </si>
  <si>
    <t xml:space="preserve">Manager F</t>
  </si>
  <si>
    <t xml:space="preserve">Employee 8</t>
  </si>
  <si>
    <t xml:space="preserve">Change Adoption — KPI Summary</t>
  </si>
  <si>
    <t xml:space="preserve">KPI</t>
  </si>
  <si>
    <t xml:space="preserve">Result</t>
  </si>
  <si>
    <t xml:space="preserve">Employees Enrolled</t>
  </si>
  <si>
    <t xml:space="preserve">Completion Rate</t>
  </si>
  <si>
    <t xml:space="preserve">86%</t>
  </si>
  <si>
    <t xml:space="preserve">2.9 / 5</t>
  </si>
  <si>
    <t xml:space="preserve">4.2 / 5</t>
  </si>
  <si>
    <t xml:space="preserve">3.0 / 5</t>
  </si>
  <si>
    <t xml:space="preserve">4.3 / 5</t>
  </si>
  <si>
    <t xml:space="preserve">Team Adoption Plans Submitted</t>
  </si>
  <si>
    <t xml:space="preserve">1,850</t>
  </si>
  <si>
    <t xml:space="preserve">Customer-Facing Readiness</t>
  </si>
  <si>
    <t xml:space="preserve">81%</t>
  </si>
  <si>
    <t xml:space="preserve">Manager Satisfaction</t>
  </si>
  <si>
    <t xml:space="preserve">4.5 / 5</t>
  </si>
  <si>
    <t xml:space="preserve">CHANGE ADOPTION DASHBOARD</t>
  </si>
  <si>
    <t xml:space="preserve">Chart Data</t>
  </si>
  <si>
    <t xml:space="preserve">Tracking Engagement, Clarity, Confidence and Adoption across Departments and Regions</t>
  </si>
  <si>
    <t xml:space="preserve">Metric</t>
  </si>
  <si>
    <t xml:space="preserve">Before</t>
  </si>
  <si>
    <t xml:space="preserve">After</t>
  </si>
  <si>
    <t xml:space="preserve">Change Clarity</t>
  </si>
  <si>
    <t xml:space="preserve">Clarity After</t>
  </si>
  <si>
    <t xml:space="preserve">Mgr Confidence After</t>
  </si>
  <si>
    <t xml:space="preserve">Readiness</t>
  </si>
  <si>
    <t xml:space="preserve">Manager Confidence</t>
  </si>
  <si>
    <t xml:space="preserve">KEY METRICS</t>
  </si>
  <si>
    <t xml:space="preserve">Role Impact Maps</t>
  </si>
  <si>
    <t xml:space="preserve">RECOMMENDED ACTIONS</t>
  </si>
  <si>
    <t xml:space="preserve">  •  Run follow-up sessions for teams with low clarity scores.</t>
  </si>
  <si>
    <t xml:space="preserve">  •  Update FAQ based on repeated questions.</t>
  </si>
  <si>
    <t xml:space="preserve">  •  Add manager coaching for teams with low confidence.</t>
  </si>
  <si>
    <t xml:space="preserve">  •  Create customer-facing scripts for teams below readiness target.</t>
  </si>
  <si>
    <t xml:space="preserve">  •  Review dashboard monthly with HRBP and regional leaders.</t>
  </si>
  <si>
    <t xml:space="preserve">Source: Change Adoption Program tracking — Raw Data and KPI Summary sheets. Refresh monthly with HRBP.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</si>
</sst>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7964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BF8F00"/>
      </left>
      <right style="medium">
        <color rgb="FFBF8F00"/>
      </right>
      <top style="medium">
        <color rgb="FFBF8F00"/>
      </top>
      <bottom style="thin">
        <color rgb="FFBF8F00"/>
      </bottom>
      <diagonal/>
    </border>
    <border diagonalUp="false" diagonalDown="false">
      <left style="medium">
        <color rgb="FFBF8F00"/>
      </left>
      <right style="medium">
        <color rgb="FFBF8F00"/>
      </right>
      <top style="thin">
        <color rgb="FFBF8F00"/>
      </top>
      <bottom style="thin">
        <color rgb="FFBF8F00"/>
      </bottom>
      <diagonal/>
    </border>
    <border diagonalUp="false" diagonalDown="false">
      <left style="medium">
        <color rgb="FFBF8F00"/>
      </left>
      <right style="medium">
        <color rgb="FFBF8F00"/>
      </right>
      <top style="thin">
        <color rgb="FFBF8F00"/>
      </top>
      <bottom style="medium">
        <color rgb="FFBF8F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3A9CE"/>
      <rgbColor rgb="FFAB4744"/>
      <rgbColor rgb="FFFFF2CC"/>
      <rgbColor rgb="FFF2F2F2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79646"/>
      <rgbColor rgb="FFBF8F00"/>
      <rgbColor rgb="FF8064A2"/>
      <rgbColor rgb="FF969696"/>
      <rgbColor rgb="FF1F3864"/>
      <rgbColor rgb="FF4672A8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1. Change Clarity —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Dashboard!S3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Dashboard!$R$4</c:f>
              <c:strCache>
                <c:ptCount val="1"/>
                <c:pt idx="0">
                  <c:v>Change Clarity</c:v>
                </c:pt>
              </c:strCache>
            </c:strRef>
          </c:cat>
          <c:val>
            <c:numRef>
              <c:f>Dashboard!$S$4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</c:ser>
        <c:ser>
          <c:idx val="1"/>
          <c:order val="1"/>
          <c:tx>
            <c:strRef>
              <c:f>Dashboard!T3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Dashboard!$R$4</c:f>
              <c:strCache>
                <c:ptCount val="1"/>
                <c:pt idx="0">
                  <c:v>Change Clarity</c:v>
                </c:pt>
              </c:strCache>
            </c:strRef>
          </c:cat>
          <c:val>
            <c:numRef>
              <c:f>Dashboard!$T$4</c:f>
              <c:numCache>
                <c:formatCode>General</c:formatCode>
                <c:ptCount val="1"/>
                <c:pt idx="0">
                  <c:v>4.2</c:v>
                </c:pt>
              </c:numCache>
            </c:numRef>
          </c:val>
        </c:ser>
        <c:gapWidth val="150"/>
        <c:overlap val="0"/>
        <c:axId val="22489177"/>
        <c:axId val="16006926"/>
      </c:barChart>
      <c:catAx>
        <c:axId val="22489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006926"/>
        <c:crosses val="autoZero"/>
        <c:auto val="1"/>
        <c:lblAlgn val="ctr"/>
        <c:lblOffset val="100"/>
        <c:noMultiLvlLbl val="0"/>
      </c:catAx>
      <c:valAx>
        <c:axId val="16006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(out 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4891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2. Manager Confidence —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Dashboard!S6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AB47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Dashboard!$R$7</c:f>
              <c:strCache>
                <c:ptCount val="1"/>
                <c:pt idx="0">
                  <c:v>Manager Confidence</c:v>
                </c:pt>
              </c:strCache>
            </c:strRef>
          </c:cat>
          <c:val>
            <c:numRef>
              <c:f>Dashboard!$S$7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Dashboard!T6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Dashboard!$R$7</c:f>
              <c:strCache>
                <c:ptCount val="1"/>
                <c:pt idx="0">
                  <c:v>Manager Confidence</c:v>
                </c:pt>
              </c:strCache>
            </c:strRef>
          </c:cat>
          <c:val>
            <c:numRef>
              <c:f>Dashboard!$T$7</c:f>
              <c:numCache>
                <c:formatCode>General</c:formatCode>
                <c:ptCount val="1"/>
                <c:pt idx="0">
                  <c:v>4.3</c:v>
                </c:pt>
              </c:numCache>
            </c:numRef>
          </c:val>
        </c:ser>
        <c:gapWidth val="150"/>
        <c:overlap val="0"/>
        <c:axId val="30247888"/>
        <c:axId val="69325849"/>
      </c:barChart>
      <c:catAx>
        <c:axId val="302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325849"/>
        <c:crosses val="autoZero"/>
        <c:auto val="1"/>
        <c:lblAlgn val="ctr"/>
        <c:lblOffset val="100"/>
        <c:noMultiLvlLbl val="0"/>
      </c:catAx>
      <c:valAx>
        <c:axId val="69325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(out 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2478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3. Completion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Dashboard!S9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Dashboard!$R$10:$R$15</c:f>
              <c:strCache>
                <c:ptCount val="6"/>
                <c:pt idx="0">
                  <c:v>Sales</c:v>
                </c:pt>
                <c:pt idx="1">
                  <c:v>Customer Success</c:v>
                </c:pt>
                <c:pt idx="2">
                  <c:v>Product</c:v>
                </c:pt>
                <c:pt idx="3">
                  <c:v>Support</c:v>
                </c:pt>
                <c:pt idx="4">
                  <c:v>Marketing</c:v>
                </c:pt>
                <c:pt idx="5">
                  <c:v>Engineering</c:v>
                </c:pt>
              </c:strCache>
            </c:strRef>
          </c:cat>
          <c:val>
            <c:numRef>
              <c:f>Dashboard!$S$10:$S$15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10446498"/>
        <c:axId val="64328365"/>
      </c:barChart>
      <c:catAx>
        <c:axId val="1044649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Completion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328365"/>
        <c:crosses val="autoZero"/>
        <c:auto val="1"/>
        <c:lblAlgn val="ctr"/>
        <c:lblOffset val="100"/>
        <c:noMultiLvlLbl val="0"/>
      </c:catAx>
      <c:valAx>
        <c:axId val="64328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4464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4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4. Role Impact Maps Submitted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Dashboard!S17</c:f>
              <c:strCache>
                <c:ptCount val="1"/>
                <c:pt idx="0">
                  <c:v>Role Impact Maps</c:v>
                </c:pt>
              </c:strCache>
            </c:strRef>
          </c:tx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Dashboard!$R$18:$R$23</c:f>
              <c:strCache>
                <c:ptCount val="6"/>
                <c:pt idx="0">
                  <c:v>Sales</c:v>
                </c:pt>
                <c:pt idx="1">
                  <c:v>Customer Success</c:v>
                </c:pt>
                <c:pt idx="2">
                  <c:v>Product</c:v>
                </c:pt>
                <c:pt idx="3">
                  <c:v>Support</c:v>
                </c:pt>
                <c:pt idx="4">
                  <c:v>Marketing</c:v>
                </c:pt>
                <c:pt idx="5">
                  <c:v>Engineering</c:v>
                </c:pt>
              </c:strCache>
            </c:strRef>
          </c:cat>
          <c:val>
            <c:numRef>
              <c:f>Dashboard!$S$18:$S$23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22876752"/>
        <c:axId val="49257861"/>
      </c:barChart>
      <c:catAx>
        <c:axId val="2287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257861"/>
        <c:crosses val="autoZero"/>
        <c:auto val="1"/>
        <c:lblAlgn val="ctr"/>
        <c:lblOffset val="100"/>
        <c:noMultiLvlLbl val="0"/>
      </c:catAx>
      <c:valAx>
        <c:axId val="49257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Maps Submitted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8767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5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5. Knowledge Hub Visits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Dashboard!S25</c:f>
              <c:strCache>
                <c:ptCount val="1"/>
                <c:pt idx="0">
                  <c:v>Knowledge Hub Visits</c:v>
                </c:pt>
              </c:strCache>
            </c:strRef>
          </c:tx>
          <c:spPr>
            <a:solidFill>
              <a:srgbClr val="4BACC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Dashboard!$R$26:$R$28</c:f>
              <c:strCache>
                <c:ptCount val="3"/>
                <c:pt idx="0">
                  <c:v>EMEA</c:v>
                </c:pt>
                <c:pt idx="1">
                  <c:v>US</c:v>
                </c:pt>
                <c:pt idx="2">
                  <c:v>APAC</c:v>
                </c:pt>
              </c:strCache>
            </c:strRef>
          </c:cat>
          <c:val>
            <c:numRef>
              <c:f>Dashboard!$S$26:$S$28</c:f>
              <c:numCache>
                <c:formatCode>General</c:formatCode>
                <c:ptCount val="3"/>
                <c:pt idx="0">
                  <c:v>33</c:v>
                </c:pt>
                <c:pt idx="1">
                  <c:v>32</c:v>
                </c:pt>
                <c:pt idx="2">
                  <c:v>17</c:v>
                </c:pt>
              </c:numCache>
            </c:numRef>
          </c:val>
        </c:ser>
        <c:gapWidth val="150"/>
        <c:overlap val="0"/>
        <c:axId val="65244546"/>
        <c:axId val="4831009"/>
      </c:barChart>
      <c:catAx>
        <c:axId val="65244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31009"/>
        <c:crosses val="autoZero"/>
        <c:auto val="1"/>
        <c:lblAlgn val="ctr"/>
        <c:lblOffset val="100"/>
        <c:noMultiLvlLbl val="0"/>
      </c:catAx>
      <c:valAx>
        <c:axId val="4831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2445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6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6. Team Adoption Actions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Dashboard!S30</c:f>
              <c:strCache>
                <c:ptCount val="1"/>
                <c:pt idx="0">
                  <c:v>Team Adoption Actions</c:v>
                </c:pt>
              </c:strCache>
            </c:strRef>
          </c:tx>
          <c:spPr>
            <a:solidFill>
              <a:srgbClr val="F7964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Dashboard!$R$31:$R$36</c:f>
              <c:strCache>
                <c:ptCount val="6"/>
                <c:pt idx="0">
                  <c:v>Sales</c:v>
                </c:pt>
                <c:pt idx="1">
                  <c:v>Customer Success</c:v>
                </c:pt>
                <c:pt idx="2">
                  <c:v>Product</c:v>
                </c:pt>
                <c:pt idx="3">
                  <c:v>Support</c:v>
                </c:pt>
                <c:pt idx="4">
                  <c:v>Marketing</c:v>
                </c:pt>
                <c:pt idx="5">
                  <c:v>Engineering</c:v>
                </c:pt>
              </c:strCache>
            </c:strRef>
          </c:cat>
          <c:val>
            <c:numRef>
              <c:f>Dashboard!$S$31:$S$36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51446193"/>
        <c:axId val="93279094"/>
      </c:barChart>
      <c:catAx>
        <c:axId val="514461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79094"/>
        <c:crosses val="autoZero"/>
        <c:auto val="1"/>
        <c:lblAlgn val="ctr"/>
        <c:lblOffset val="100"/>
        <c:noMultiLvlLbl val="0"/>
      </c:catAx>
      <c:valAx>
        <c:axId val="93279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4461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684720</xdr:colOff>
      <xdr:row>23</xdr:row>
      <xdr:rowOff>21960</xdr:rowOff>
    </xdr:to>
    <xdr:graphicFrame>
      <xdr:nvGraphicFramePr>
        <xdr:cNvPr id="1" name="Chart 1"/>
        <xdr:cNvGraphicFramePr/>
      </xdr:nvGraphicFramePr>
      <xdr:xfrm>
        <a:off x="0" y="23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14</xdr:col>
      <xdr:colOff>684720</xdr:colOff>
      <xdr:row>23</xdr:row>
      <xdr:rowOff>21960</xdr:rowOff>
    </xdr:to>
    <xdr:graphicFrame>
      <xdr:nvGraphicFramePr>
        <xdr:cNvPr id="2" name="Chart 2"/>
        <xdr:cNvGraphicFramePr/>
      </xdr:nvGraphicFramePr>
      <xdr:xfrm>
        <a:off x="6766560" y="23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684720</xdr:colOff>
      <xdr:row>40</xdr:row>
      <xdr:rowOff>22320</xdr:rowOff>
    </xdr:to>
    <xdr:graphicFrame>
      <xdr:nvGraphicFramePr>
        <xdr:cNvPr id="3" name="Chart 3"/>
        <xdr:cNvGraphicFramePr/>
      </xdr:nvGraphicFramePr>
      <xdr:xfrm>
        <a:off x="0" y="56102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14</xdr:col>
      <xdr:colOff>684720</xdr:colOff>
      <xdr:row>40</xdr:row>
      <xdr:rowOff>22320</xdr:rowOff>
    </xdr:to>
    <xdr:graphicFrame>
      <xdr:nvGraphicFramePr>
        <xdr:cNvPr id="4" name="Chart 4"/>
        <xdr:cNvGraphicFramePr/>
      </xdr:nvGraphicFramePr>
      <xdr:xfrm>
        <a:off x="6766560" y="56102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6</xdr:col>
      <xdr:colOff>684720</xdr:colOff>
      <xdr:row>57</xdr:row>
      <xdr:rowOff>22320</xdr:rowOff>
    </xdr:to>
    <xdr:graphicFrame>
      <xdr:nvGraphicFramePr>
        <xdr:cNvPr id="5" name="Chart 5"/>
        <xdr:cNvGraphicFramePr/>
      </xdr:nvGraphicFramePr>
      <xdr:xfrm>
        <a:off x="0" y="8848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42</xdr:row>
      <xdr:rowOff>0</xdr:rowOff>
    </xdr:from>
    <xdr:to>
      <xdr:col>14</xdr:col>
      <xdr:colOff>684720</xdr:colOff>
      <xdr:row>57</xdr:row>
      <xdr:rowOff>22320</xdr:rowOff>
    </xdr:to>
    <xdr:graphicFrame>
      <xdr:nvGraphicFramePr>
        <xdr:cNvPr id="6" name="Chart 6"/>
        <xdr:cNvGraphicFramePr/>
      </xdr:nvGraphicFramePr>
      <xdr:xfrm>
        <a:off x="6766560" y="8848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11" min="6" style="0" width="13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7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n">
        <v>3</v>
      </c>
      <c r="G4" s="4" t="n">
        <v>4.2</v>
      </c>
      <c r="H4" s="4" t="n">
        <v>3</v>
      </c>
      <c r="I4" s="4" t="n">
        <v>4.3</v>
      </c>
      <c r="J4" s="4" t="n">
        <v>1</v>
      </c>
      <c r="K4" s="4" t="n">
        <v>3</v>
      </c>
      <c r="L4" s="4" t="n">
        <v>5</v>
      </c>
      <c r="M4" s="4" t="n">
        <v>12</v>
      </c>
    </row>
    <row r="5" customFormat="false" ht="15" hidden="false" customHeight="false" outlineLevel="0" collapsed="false">
      <c r="A5" s="5" t="s">
        <v>19</v>
      </c>
      <c r="B5" s="6" t="s">
        <v>20</v>
      </c>
      <c r="C5" s="6" t="s">
        <v>21</v>
      </c>
      <c r="D5" s="6" t="s">
        <v>22</v>
      </c>
      <c r="E5" s="6" t="s">
        <v>18</v>
      </c>
      <c r="F5" s="6" t="n">
        <v>2.7</v>
      </c>
      <c r="G5" s="6" t="n">
        <v>4.1</v>
      </c>
      <c r="H5" s="6" t="n">
        <v>2.9</v>
      </c>
      <c r="I5" s="6" t="n">
        <v>4.2</v>
      </c>
      <c r="J5" s="6" t="n">
        <v>1</v>
      </c>
      <c r="K5" s="6" t="n">
        <v>4</v>
      </c>
      <c r="L5" s="6" t="n">
        <v>5</v>
      </c>
      <c r="M5" s="6" t="n">
        <v>14</v>
      </c>
    </row>
    <row r="6" customFormat="false" ht="15" hidden="false" customHeight="false" outlineLevel="0" collapsed="false">
      <c r="A6" s="3" t="s">
        <v>23</v>
      </c>
      <c r="B6" s="4" t="s">
        <v>24</v>
      </c>
      <c r="C6" s="4" t="s">
        <v>25</v>
      </c>
      <c r="D6" s="4" t="s">
        <v>26</v>
      </c>
      <c r="E6" s="4" t="s">
        <v>18</v>
      </c>
      <c r="F6" s="4" t="n">
        <v>3.1</v>
      </c>
      <c r="G6" s="4" t="n">
        <v>4.4</v>
      </c>
      <c r="H6" s="4" t="n">
        <v>3.2</v>
      </c>
      <c r="I6" s="4" t="n">
        <v>4.5</v>
      </c>
      <c r="J6" s="4" t="n">
        <v>2</v>
      </c>
      <c r="K6" s="4" t="n">
        <v>4</v>
      </c>
      <c r="L6" s="4" t="n">
        <v>4</v>
      </c>
      <c r="M6" s="4" t="n">
        <v>9</v>
      </c>
    </row>
    <row r="7" customFormat="false" ht="15" hidden="false" customHeight="false" outlineLevel="0" collapsed="false">
      <c r="A7" s="5" t="s">
        <v>27</v>
      </c>
      <c r="B7" s="6" t="s">
        <v>28</v>
      </c>
      <c r="C7" s="6" t="s">
        <v>16</v>
      </c>
      <c r="D7" s="6" t="s">
        <v>29</v>
      </c>
      <c r="E7" s="6" t="s">
        <v>18</v>
      </c>
      <c r="F7" s="6" t="n">
        <v>2.6</v>
      </c>
      <c r="G7" s="6" t="n">
        <v>3.9</v>
      </c>
      <c r="H7" s="6" t="n">
        <v>2.7</v>
      </c>
      <c r="I7" s="6" t="n">
        <v>4</v>
      </c>
      <c r="J7" s="6" t="n">
        <v>1</v>
      </c>
      <c r="K7" s="6" t="n">
        <v>3</v>
      </c>
      <c r="L7" s="6" t="n">
        <v>4</v>
      </c>
      <c r="M7" s="6" t="n">
        <v>11</v>
      </c>
    </row>
    <row r="8" customFormat="false" ht="15" hidden="false" customHeight="false" outlineLevel="0" collapsed="false">
      <c r="A8" s="3" t="s">
        <v>30</v>
      </c>
      <c r="B8" s="4" t="s">
        <v>31</v>
      </c>
      <c r="C8" s="4" t="s">
        <v>21</v>
      </c>
      <c r="D8" s="4" t="s">
        <v>32</v>
      </c>
      <c r="E8" s="4" t="s">
        <v>33</v>
      </c>
      <c r="F8" s="4" t="n">
        <v>2.9</v>
      </c>
      <c r="G8" s="4" t="n">
        <v>3.3</v>
      </c>
      <c r="H8" s="4" t="n">
        <v>3</v>
      </c>
      <c r="I8" s="4" t="n">
        <v>3.5</v>
      </c>
      <c r="J8" s="4" t="n">
        <v>0</v>
      </c>
      <c r="K8" s="4" t="n">
        <v>0</v>
      </c>
      <c r="L8" s="4" t="n">
        <v>3</v>
      </c>
      <c r="M8" s="4" t="n">
        <v>3</v>
      </c>
    </row>
    <row r="9" customFormat="false" ht="15" hidden="false" customHeight="false" outlineLevel="0" collapsed="false">
      <c r="A9" s="5" t="s">
        <v>34</v>
      </c>
      <c r="B9" s="6" t="s">
        <v>35</v>
      </c>
      <c r="C9" s="6" t="s">
        <v>25</v>
      </c>
      <c r="D9" s="6" t="s">
        <v>26</v>
      </c>
      <c r="E9" s="6" t="s">
        <v>18</v>
      </c>
      <c r="F9" s="6" t="n">
        <v>2.8</v>
      </c>
      <c r="G9" s="6" t="n">
        <v>4</v>
      </c>
      <c r="H9" s="6" t="n">
        <v>3.1</v>
      </c>
      <c r="I9" s="6" t="n">
        <v>4.1</v>
      </c>
      <c r="J9" s="6" t="n">
        <v>1</v>
      </c>
      <c r="K9" s="6" t="n">
        <v>2</v>
      </c>
      <c r="L9" s="6" t="n">
        <v>4</v>
      </c>
      <c r="M9" s="6" t="n">
        <v>8</v>
      </c>
    </row>
    <row r="10" customFormat="false" ht="15" hidden="false" customHeight="false" outlineLevel="0" collapsed="false">
      <c r="A10" s="3" t="s">
        <v>36</v>
      </c>
      <c r="B10" s="4" t="s">
        <v>15</v>
      </c>
      <c r="C10" s="4" t="s">
        <v>21</v>
      </c>
      <c r="D10" s="4" t="s">
        <v>37</v>
      </c>
      <c r="E10" s="4" t="s">
        <v>18</v>
      </c>
      <c r="F10" s="4" t="n">
        <v>3.2</v>
      </c>
      <c r="G10" s="4" t="n">
        <v>4.5</v>
      </c>
      <c r="H10" s="4" t="n">
        <v>3</v>
      </c>
      <c r="I10" s="4" t="n">
        <v>4.4</v>
      </c>
      <c r="J10" s="4" t="n">
        <v>2</v>
      </c>
      <c r="K10" s="4" t="n">
        <v>4</v>
      </c>
      <c r="L10" s="4" t="n">
        <v>5</v>
      </c>
      <c r="M10" s="4" t="n">
        <v>15</v>
      </c>
    </row>
    <row r="11" customFormat="false" ht="15" hidden="false" customHeight="false" outlineLevel="0" collapsed="false">
      <c r="A11" s="5" t="s">
        <v>38</v>
      </c>
      <c r="B11" s="6" t="s">
        <v>20</v>
      </c>
      <c r="C11" s="6" t="s">
        <v>16</v>
      </c>
      <c r="D11" s="6" t="s">
        <v>17</v>
      </c>
      <c r="E11" s="6" t="s">
        <v>18</v>
      </c>
      <c r="F11" s="6" t="n">
        <v>2.5</v>
      </c>
      <c r="G11" s="6" t="n">
        <v>4</v>
      </c>
      <c r="H11" s="6" t="n">
        <v>2.8</v>
      </c>
      <c r="I11" s="6" t="n">
        <v>4.1</v>
      </c>
      <c r="J11" s="6" t="n">
        <v>1</v>
      </c>
      <c r="K11" s="6" t="n">
        <v>3</v>
      </c>
      <c r="L11" s="6" t="n">
        <v>4</v>
      </c>
      <c r="M11" s="6" t="n">
        <v>10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31.5" hidden="false" customHeight="true" outlineLevel="0" collapsed="false">
      <c r="A1" s="1" t="s">
        <v>39</v>
      </c>
      <c r="B1" s="1"/>
    </row>
    <row r="3" customFormat="false" ht="27.75" hidden="false" customHeight="true" outlineLevel="0" collapsed="false">
      <c r="A3" s="2" t="s">
        <v>40</v>
      </c>
      <c r="B3" s="2" t="s">
        <v>41</v>
      </c>
    </row>
    <row r="4" customFormat="false" ht="15" hidden="false" customHeight="false" outlineLevel="0" collapsed="false">
      <c r="A4" s="7" t="s">
        <v>42</v>
      </c>
      <c r="B4" s="4" t="n">
        <v>480</v>
      </c>
    </row>
    <row r="5" customFormat="false" ht="15" hidden="false" customHeight="false" outlineLevel="0" collapsed="false">
      <c r="A5" s="8" t="s">
        <v>43</v>
      </c>
      <c r="B5" s="6" t="s">
        <v>44</v>
      </c>
    </row>
    <row r="6" customFormat="false" ht="15" hidden="false" customHeight="false" outlineLevel="0" collapsed="false">
      <c r="A6" s="7" t="s">
        <v>6</v>
      </c>
      <c r="B6" s="4" t="s">
        <v>45</v>
      </c>
    </row>
    <row r="7" customFormat="false" ht="15" hidden="false" customHeight="false" outlineLevel="0" collapsed="false">
      <c r="A7" s="8" t="s">
        <v>7</v>
      </c>
      <c r="B7" s="6" t="s">
        <v>46</v>
      </c>
    </row>
    <row r="8" customFormat="false" ht="15" hidden="false" customHeight="false" outlineLevel="0" collapsed="false">
      <c r="A8" s="7" t="s">
        <v>8</v>
      </c>
      <c r="B8" s="4" t="s">
        <v>47</v>
      </c>
    </row>
    <row r="9" customFormat="false" ht="15" hidden="false" customHeight="false" outlineLevel="0" collapsed="false">
      <c r="A9" s="8" t="s">
        <v>9</v>
      </c>
      <c r="B9" s="6" t="s">
        <v>48</v>
      </c>
    </row>
    <row r="10" customFormat="false" ht="15" hidden="false" customHeight="false" outlineLevel="0" collapsed="false">
      <c r="A10" s="7" t="s">
        <v>10</v>
      </c>
      <c r="B10" s="4" t="n">
        <v>72</v>
      </c>
    </row>
    <row r="11" customFormat="false" ht="15" hidden="false" customHeight="false" outlineLevel="0" collapsed="false">
      <c r="A11" s="8" t="s">
        <v>49</v>
      </c>
      <c r="B11" s="6" t="n">
        <v>64</v>
      </c>
    </row>
    <row r="12" customFormat="false" ht="15" hidden="false" customHeight="false" outlineLevel="0" collapsed="false">
      <c r="A12" s="7" t="s">
        <v>13</v>
      </c>
      <c r="B12" s="4" t="s">
        <v>50</v>
      </c>
    </row>
    <row r="13" customFormat="false" ht="15" hidden="false" customHeight="false" outlineLevel="0" collapsed="false">
      <c r="A13" s="8" t="s">
        <v>51</v>
      </c>
      <c r="B13" s="6" t="s">
        <v>52</v>
      </c>
    </row>
    <row r="14" customFormat="false" ht="15" hidden="false" customHeight="false" outlineLevel="0" collapsed="false">
      <c r="A14" s="7" t="s">
        <v>53</v>
      </c>
      <c r="B14" s="4" t="s">
        <v>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" min="1" style="0" width="12"/>
    <col collapsed="false" customWidth="true" hidden="false" outlineLevel="0" max="20" min="18" style="0" width="22"/>
  </cols>
  <sheetData>
    <row r="1" customFormat="false" ht="27.75" hidden="false" customHeight="true" outlineLevel="0" collapsed="false">
      <c r="A1" s="9" t="s">
        <v>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R1" s="10" t="s">
        <v>56</v>
      </c>
    </row>
    <row r="2" customFormat="false" ht="27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21.75" hidden="false" customHeight="true" outlineLevel="0" collapsed="false">
      <c r="A3" s="11" t="s">
        <v>57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R3" s="10" t="s">
        <v>58</v>
      </c>
      <c r="S3" s="10" t="s">
        <v>59</v>
      </c>
      <c r="T3" s="10" t="s">
        <v>60</v>
      </c>
    </row>
    <row r="4" customFormat="false" ht="15" hidden="false" customHeight="false" outlineLevel="0" collapsed="false">
      <c r="R4" s="0" t="s">
        <v>61</v>
      </c>
      <c r="S4" s="0" t="n">
        <v>2.9</v>
      </c>
      <c r="T4" s="0" t="n">
        <v>4.2</v>
      </c>
    </row>
    <row r="5" customFormat="false" ht="21.75" hidden="false" customHeight="true" outlineLevel="0" collapsed="false">
      <c r="A5" s="12" t="s">
        <v>43</v>
      </c>
      <c r="B5" s="12"/>
      <c r="C5" s="12"/>
      <c r="D5" s="13" t="s">
        <v>62</v>
      </c>
      <c r="E5" s="13"/>
      <c r="F5" s="13"/>
      <c r="G5" s="14" t="s">
        <v>63</v>
      </c>
      <c r="H5" s="14"/>
      <c r="I5" s="14"/>
      <c r="J5" s="15" t="s">
        <v>13</v>
      </c>
      <c r="K5" s="15"/>
      <c r="L5" s="15"/>
      <c r="M5" s="16" t="s">
        <v>64</v>
      </c>
      <c r="N5" s="16"/>
      <c r="O5" s="16"/>
    </row>
    <row r="6" customFormat="false" ht="36" hidden="false" customHeight="true" outlineLevel="0" collapsed="false">
      <c r="A6" s="17" t="s">
        <v>44</v>
      </c>
      <c r="B6" s="17"/>
      <c r="C6" s="17"/>
      <c r="D6" s="18" t="s">
        <v>46</v>
      </c>
      <c r="E6" s="18"/>
      <c r="F6" s="18"/>
      <c r="G6" s="19" t="s">
        <v>48</v>
      </c>
      <c r="H6" s="19"/>
      <c r="I6" s="19"/>
      <c r="J6" s="20" t="s">
        <v>50</v>
      </c>
      <c r="K6" s="20"/>
      <c r="L6" s="20"/>
      <c r="M6" s="21" t="s">
        <v>52</v>
      </c>
      <c r="N6" s="21"/>
      <c r="O6" s="21"/>
      <c r="R6" s="10" t="s">
        <v>58</v>
      </c>
      <c r="S6" s="10" t="s">
        <v>59</v>
      </c>
      <c r="T6" s="10" t="s">
        <v>60</v>
      </c>
    </row>
    <row r="7" customFormat="false" ht="15" hidden="false" customHeight="false" outlineLevel="0" collapsed="false">
      <c r="R7" s="0" t="s">
        <v>65</v>
      </c>
      <c r="S7" s="0" t="n">
        <v>3</v>
      </c>
      <c r="T7" s="0" t="n">
        <v>4.3</v>
      </c>
    </row>
    <row r="8" customFormat="false" ht="21.75" hidden="false" customHeight="true" outlineLevel="0" collapsed="false">
      <c r="A8" s="22" t="s">
        <v>66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customFormat="false" ht="15" hidden="false" customHeight="false" outlineLevel="0" collapsed="false">
      <c r="R9" s="10" t="s">
        <v>2</v>
      </c>
      <c r="S9" s="10" t="s">
        <v>43</v>
      </c>
    </row>
    <row r="10" customFormat="false" ht="15" hidden="false" customHeight="false" outlineLevel="0" collapsed="false">
      <c r="R10" s="0" t="s">
        <v>15</v>
      </c>
      <c r="S10" s="23" t="n">
        <f aca="false">IFERROR(COUNTIFS('Raw Data'!B4:B11,"Sales",'Raw Data'!E4:E11,"Yes")/COUNTIF('Raw Data'!B4:B11,"Sales"),0)</f>
        <v>1</v>
      </c>
    </row>
    <row r="11" customFormat="false" ht="15" hidden="false" customHeight="false" outlineLevel="0" collapsed="false">
      <c r="R11" s="0" t="s">
        <v>20</v>
      </c>
      <c r="S11" s="23" t="n">
        <f aca="false">IFERROR(COUNTIFS('Raw Data'!B4:B11,"Customer Success",'Raw Data'!E4:E11,"Yes")/COUNTIF('Raw Data'!B4:B11,"Customer Success"),0)</f>
        <v>1</v>
      </c>
    </row>
    <row r="12" customFormat="false" ht="15" hidden="false" customHeight="false" outlineLevel="0" collapsed="false">
      <c r="R12" s="0" t="s">
        <v>24</v>
      </c>
      <c r="S12" s="23" t="n">
        <f aca="false">IFERROR(COUNTIFS('Raw Data'!B4:B11,"Product",'Raw Data'!E4:E11,"Yes")/COUNTIF('Raw Data'!B4:B11,"Product"),0)</f>
        <v>1</v>
      </c>
    </row>
    <row r="13" customFormat="false" ht="15" hidden="false" customHeight="false" outlineLevel="0" collapsed="false">
      <c r="R13" s="0" t="s">
        <v>28</v>
      </c>
      <c r="S13" s="23" t="n">
        <f aca="false">IFERROR(COUNTIFS('Raw Data'!B4:B11,"Support",'Raw Data'!E4:E11,"Yes")/COUNTIF('Raw Data'!B4:B11,"Support"),0)</f>
        <v>1</v>
      </c>
    </row>
    <row r="14" customFormat="false" ht="15" hidden="false" customHeight="false" outlineLevel="0" collapsed="false">
      <c r="R14" s="0" t="s">
        <v>31</v>
      </c>
      <c r="S14" s="23" t="n">
        <f aca="false">IFERROR(COUNTIFS('Raw Data'!B4:B11,"Marketing",'Raw Data'!E4:E11,"Yes")/COUNTIF('Raw Data'!B4:B11,"Marketing"),0)</f>
        <v>0</v>
      </c>
    </row>
    <row r="15" customFormat="false" ht="15" hidden="false" customHeight="false" outlineLevel="0" collapsed="false">
      <c r="R15" s="0" t="s">
        <v>35</v>
      </c>
      <c r="S15" s="23" t="n">
        <f aca="false">IFERROR(COUNTIFS('Raw Data'!B4:B11,"Engineering",'Raw Data'!E4:E11,"Yes")/COUNTIF('Raw Data'!B4:B11,"Engineering"),0)</f>
        <v>1</v>
      </c>
    </row>
    <row r="17" customFormat="false" ht="15" hidden="false" customHeight="false" outlineLevel="0" collapsed="false">
      <c r="R17" s="10" t="s">
        <v>2</v>
      </c>
      <c r="S17" s="10" t="s">
        <v>67</v>
      </c>
    </row>
    <row r="18" customFormat="false" ht="15" hidden="false" customHeight="false" outlineLevel="0" collapsed="false">
      <c r="R18" s="0" t="s">
        <v>15</v>
      </c>
      <c r="S18" s="0" t="n">
        <f aca="false">SUMIF('Raw Data'!B4:B11,"Sales",'Raw Data'!J4:J11)</f>
        <v>3</v>
      </c>
    </row>
    <row r="19" customFormat="false" ht="15" hidden="false" customHeight="false" outlineLevel="0" collapsed="false">
      <c r="R19" s="0" t="s">
        <v>20</v>
      </c>
      <c r="S19" s="0" t="n">
        <f aca="false">SUMIF('Raw Data'!B4:B11,"Customer Success",'Raw Data'!J4:J11)</f>
        <v>2</v>
      </c>
    </row>
    <row r="20" customFormat="false" ht="15" hidden="false" customHeight="false" outlineLevel="0" collapsed="false">
      <c r="R20" s="0" t="s">
        <v>24</v>
      </c>
      <c r="S20" s="0" t="n">
        <f aca="false">SUMIF('Raw Data'!B4:B11,"Product",'Raw Data'!J4:J11)</f>
        <v>2</v>
      </c>
    </row>
    <row r="21" customFormat="false" ht="15" hidden="false" customHeight="false" outlineLevel="0" collapsed="false">
      <c r="R21" s="0" t="s">
        <v>28</v>
      </c>
      <c r="S21" s="0" t="n">
        <f aca="false">SUMIF('Raw Data'!B4:B11,"Support",'Raw Data'!J4:J11)</f>
        <v>1</v>
      </c>
    </row>
    <row r="22" customFormat="false" ht="15" hidden="false" customHeight="false" outlineLevel="0" collapsed="false">
      <c r="R22" s="0" t="s">
        <v>31</v>
      </c>
      <c r="S22" s="0" t="n">
        <f aca="false">SUMIF('Raw Data'!B4:B11,"Marketing",'Raw Data'!J4:J11)</f>
        <v>0</v>
      </c>
    </row>
    <row r="23" customFormat="false" ht="15" hidden="false" customHeight="false" outlineLevel="0" collapsed="false">
      <c r="R23" s="0" t="s">
        <v>35</v>
      </c>
      <c r="S23" s="0" t="n">
        <f aca="false">SUMIF('Raw Data'!B4:B11,"Engineering",'Raw Data'!J4:J11)</f>
        <v>1</v>
      </c>
    </row>
    <row r="25" customFormat="false" ht="15" hidden="false" customHeight="false" outlineLevel="0" collapsed="false">
      <c r="R25" s="10" t="s">
        <v>3</v>
      </c>
      <c r="S25" s="10" t="s">
        <v>13</v>
      </c>
    </row>
    <row r="26" customFormat="false" ht="15" hidden="false" customHeight="false" outlineLevel="0" collapsed="false">
      <c r="R26" s="0" t="s">
        <v>16</v>
      </c>
      <c r="S26" s="0" t="n">
        <f aca="false">SUMIF('Raw Data'!C4:C11,"EMEA",'Raw Data'!M4:M11)</f>
        <v>33</v>
      </c>
    </row>
    <row r="27" customFormat="false" ht="15" hidden="false" customHeight="false" outlineLevel="0" collapsed="false">
      <c r="R27" s="0" t="s">
        <v>21</v>
      </c>
      <c r="S27" s="0" t="n">
        <f aca="false">SUMIF('Raw Data'!C4:C11,"US",'Raw Data'!M4:M11)</f>
        <v>32</v>
      </c>
    </row>
    <row r="28" customFormat="false" ht="15" hidden="false" customHeight="false" outlineLevel="0" collapsed="false">
      <c r="R28" s="0" t="s">
        <v>25</v>
      </c>
      <c r="S28" s="0" t="n">
        <f aca="false">SUMIF('Raw Data'!C4:C11,"APAC",'Raw Data'!M4:M11)</f>
        <v>17</v>
      </c>
    </row>
    <row r="30" customFormat="false" ht="15" hidden="false" customHeight="false" outlineLevel="0" collapsed="false">
      <c r="R30" s="10" t="s">
        <v>2</v>
      </c>
      <c r="S30" s="10" t="s">
        <v>11</v>
      </c>
    </row>
    <row r="31" customFormat="false" ht="15" hidden="false" customHeight="false" outlineLevel="0" collapsed="false">
      <c r="R31" s="0" t="s">
        <v>15</v>
      </c>
      <c r="S31" s="0" t="n">
        <f aca="false">SUMIF('Raw Data'!B4:B11,"Sales",'Raw Data'!K4:K11)</f>
        <v>7</v>
      </c>
    </row>
    <row r="32" customFormat="false" ht="15" hidden="false" customHeight="false" outlineLevel="0" collapsed="false">
      <c r="R32" s="0" t="s">
        <v>20</v>
      </c>
      <c r="S32" s="0" t="n">
        <f aca="false">SUMIF('Raw Data'!B4:B11,"Customer Success",'Raw Data'!K4:K11)</f>
        <v>7</v>
      </c>
    </row>
    <row r="33" customFormat="false" ht="15" hidden="false" customHeight="false" outlineLevel="0" collapsed="false">
      <c r="R33" s="0" t="s">
        <v>24</v>
      </c>
      <c r="S33" s="0" t="n">
        <f aca="false">SUMIF('Raw Data'!B4:B11,"Product",'Raw Data'!K4:K11)</f>
        <v>4</v>
      </c>
    </row>
    <row r="34" customFormat="false" ht="15" hidden="false" customHeight="false" outlineLevel="0" collapsed="false">
      <c r="R34" s="0" t="s">
        <v>28</v>
      </c>
      <c r="S34" s="0" t="n">
        <f aca="false">SUMIF('Raw Data'!B4:B11,"Support",'Raw Data'!K4:K11)</f>
        <v>3</v>
      </c>
    </row>
    <row r="35" customFormat="false" ht="15" hidden="false" customHeight="false" outlineLevel="0" collapsed="false">
      <c r="R35" s="0" t="s">
        <v>31</v>
      </c>
      <c r="S35" s="0" t="n">
        <f aca="false">SUMIF('Raw Data'!B4:B11,"Marketing",'Raw Data'!K4:K11)</f>
        <v>0</v>
      </c>
    </row>
    <row r="36" customFormat="false" ht="15" hidden="false" customHeight="false" outlineLevel="0" collapsed="false">
      <c r="R36" s="0" t="s">
        <v>35</v>
      </c>
      <c r="S36" s="0" t="n">
        <f aca="false">SUMIF('Raw Data'!B4:B11,"Engineering",'Raw Data'!K4:K11)</f>
        <v>2</v>
      </c>
    </row>
    <row r="60" customFormat="false" ht="21.75" hidden="false" customHeight="true" outlineLevel="0" collapsed="false">
      <c r="A60" s="22" t="s">
        <v>68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customFormat="false" ht="24" hidden="false" customHeight="true" outlineLevel="0" collapsed="false">
      <c r="A61" s="24" t="s">
        <v>69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customFormat="false" ht="24" hidden="false" customHeight="true" outlineLevel="0" collapsed="false">
      <c r="A62" s="25" t="s">
        <v>70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customFormat="false" ht="24" hidden="false" customHeight="true" outlineLevel="0" collapsed="false">
      <c r="A63" s="25" t="s">
        <v>71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customFormat="false" ht="24" hidden="false" customHeight="true" outlineLevel="0" collapsed="false">
      <c r="A64" s="25" t="s">
        <v>72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customFormat="false" ht="24" hidden="false" customHeight="true" outlineLevel="0" collapsed="false">
      <c r="A65" s="26" t="s">
        <v>73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7" customFormat="false" ht="15" hidden="false" customHeight="true" outlineLevel="0" collapsed="false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</row>
  </sheetData>
  <mergeCells count="20">
    <mergeCell ref="A1:P2"/>
    <mergeCell ref="A3:P3"/>
    <mergeCell ref="A5:C5"/>
    <mergeCell ref="D5:F5"/>
    <mergeCell ref="G5:I5"/>
    <mergeCell ref="J5:L5"/>
    <mergeCell ref="M5:O5"/>
    <mergeCell ref="A6:C6"/>
    <mergeCell ref="D6:F6"/>
    <mergeCell ref="G6:I6"/>
    <mergeCell ref="J6:L6"/>
    <mergeCell ref="M6:O6"/>
    <mergeCell ref="A8:P8"/>
    <mergeCell ref="A60:P60"/>
    <mergeCell ref="A61:P61"/>
    <mergeCell ref="A62:P62"/>
    <mergeCell ref="A63:P63"/>
    <mergeCell ref="A64:P64"/>
    <mergeCell ref="A65:P65"/>
    <mergeCell ref="A67:P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2026-05-03T14:32:18Z</dcterms:created>
  <dc:creator>openpyxl</dc:creator>
  <dc:description/>
  <dc:language>en-US</dc:language>
  <cp:lastModifiedBy/>
  <dcterms:modified xsi:type="dcterms:W3CDTF">2026-05-03T14:32:23Z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