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 Data" sheetId="1" state="visible" r:id="rId3"/>
    <sheet name="KPI 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<sst xmlns="http://schemas.openxmlformats.org/spreadsheetml/2006/main" count="176" uniqueCount="106">
  <si>
    <t xml:space="preserve">AI Adoption Program — Raw Data</t>
  </si>
  <si>
    <t xml:space="preserve">Per-employee program metrics — sample of 10 participants</t>
  </si>
  <si>
    <t xml:space="preserve">Employee</t>
  </si>
  <si>
    <t xml:space="preserve">Department</t>
  </si>
  <si>
    <t xml:space="preserve">Role</t>
  </si>
  <si>
    <t xml:space="preserve">Completed</t>
  </si>
  <si>
    <t xml:space="preserve">Confidence Before</t>
  </si>
  <si>
    <t xml:space="preserve">Confidence After</t>
  </si>
  <si>
    <t xml:space="preserve">Quiz Score</t>
  </si>
  <si>
    <t xml:space="preserve">Active Weekly Usage</t>
  </si>
  <si>
    <t xml:space="preserve">Use Cases Submitted</t>
  </si>
  <si>
    <t xml:space="preserve">Prompt Quality</t>
  </si>
  <si>
    <t xml:space="preserve">Satisfaction</t>
  </si>
  <si>
    <t xml:space="preserve">Confidence Lift</t>
  </si>
  <si>
    <t xml:space="preserve">Employee 1</t>
  </si>
  <si>
    <t xml:space="preserve">HR</t>
  </si>
  <si>
    <t xml:space="preserve">Manager</t>
  </si>
  <si>
    <t xml:space="preserve">Yes</t>
  </si>
  <si>
    <t xml:space="preserve">Employee 2</t>
  </si>
  <si>
    <t xml:space="preserve">Operations</t>
  </si>
  <si>
    <t xml:space="preserve">Employee 3</t>
  </si>
  <si>
    <t xml:space="preserve">Customer Success</t>
  </si>
  <si>
    <t xml:space="preserve">Employee 4</t>
  </si>
  <si>
    <t xml:space="preserve">L&amp;D</t>
  </si>
  <si>
    <t xml:space="preserve">Employee 5</t>
  </si>
  <si>
    <t xml:space="preserve">Marketing</t>
  </si>
  <si>
    <t xml:space="preserve">No</t>
  </si>
  <si>
    <t xml:space="preserve">Employee 6</t>
  </si>
  <si>
    <t xml:space="preserve">Product</t>
  </si>
  <si>
    <t xml:space="preserve">Employee 7</t>
  </si>
  <si>
    <t xml:space="preserve">Finance</t>
  </si>
  <si>
    <t xml:space="preserve">Employee 8</t>
  </si>
  <si>
    <t xml:space="preserve">Sales</t>
  </si>
  <si>
    <t xml:space="preserve">Employee 9</t>
  </si>
  <si>
    <t xml:space="preserve">Support</t>
  </si>
  <si>
    <t xml:space="preserve">Employee 10</t>
  </si>
  <si>
    <t xml:space="preserve">Engineering</t>
  </si>
  <si>
    <t xml:space="preserve">Key Performance Indicators</t>
  </si>
  <si>
    <t xml:space="preserve">Headline metrics across the AI Adoption &amp; Learning program</t>
  </si>
  <si>
    <t xml:space="preserve">#</t>
  </si>
  <si>
    <t xml:space="preserve">KPI</t>
  </si>
  <si>
    <t xml:space="preserve">Result</t>
  </si>
  <si>
    <t xml:space="preserve">Status</t>
  </si>
  <si>
    <t xml:space="preserve">Participants enrolled</t>
  </si>
  <si>
    <t xml:space="preserve">—</t>
  </si>
  <si>
    <t xml:space="preserve">Program completion rate</t>
  </si>
  <si>
    <t xml:space="preserve">On Target</t>
  </si>
  <si>
    <t xml:space="preserve">Average attendance</t>
  </si>
  <si>
    <t xml:space="preserve">Watch</t>
  </si>
  <si>
    <t xml:space="preserve">AI confidence before</t>
  </si>
  <si>
    <t xml:space="preserve">Action</t>
  </si>
  <si>
    <t xml:space="preserve">AI confidence after</t>
  </si>
  <si>
    <t xml:space="preserve">Active weekly AI usage</t>
  </si>
  <si>
    <t xml:space="preserve">Use cases submitted</t>
  </si>
  <si>
    <t xml:space="preserve">Manager satisfaction</t>
  </si>
  <si>
    <t xml:space="preserve">Responsible AI quiz score</t>
  </si>
  <si>
    <t xml:space="preserve">Prompt quality average</t>
  </si>
  <si>
    <t xml:space="preserve">Status thresholds — On Target: ≥85% / ≥4.0 of 5  •  Watch: 70–84% / 3.0–3.9  •  Action: &lt;70% / &lt;3.0</t>
  </si>
  <si>
    <t xml:space="preserve">AI Adoption &amp; Learning Impact Dashboard</t>
  </si>
  <si>
    <t xml:space="preserve">Program performance snapshot  •  120 participants  •  Reporting period: Q1 2026</t>
  </si>
  <si>
    <t xml:space="preserve">COMPLETION RATE</t>
  </si>
  <si>
    <t xml:space="preserve">CONFIDENCE LIFT</t>
  </si>
  <si>
    <t xml:space="preserve">ACTIVE WEEKLY USAGE</t>
  </si>
  <si>
    <t xml:space="preserve">86%</t>
  </si>
  <si>
    <t xml:space="preserve">2.4 → 4.1</t>
  </si>
  <si>
    <t xml:space="preserve">68%</t>
  </si>
  <si>
    <t xml:space="preserve">Program completion</t>
  </si>
  <si>
    <t xml:space="preserve">Out of 5 (pre / post)</t>
  </si>
  <si>
    <t xml:space="preserve">Active AI users / week</t>
  </si>
  <si>
    <t xml:space="preserve">USE CASES SUBMITTED</t>
  </si>
  <si>
    <t xml:space="preserve">RESPONSIBLE AI QUIZ</t>
  </si>
  <si>
    <t xml:space="preserve">MANAGER SATISFACTION</t>
  </si>
  <si>
    <t xml:space="preserve">47</t>
  </si>
  <si>
    <t xml:space="preserve">91%</t>
  </si>
  <si>
    <t xml:space="preserve">4.4 / 5</t>
  </si>
  <si>
    <t xml:space="preserve">Across departments</t>
  </si>
  <si>
    <t xml:space="preserve">Average quiz score</t>
  </si>
  <si>
    <t xml:space="preserve">Manager-rated impact</t>
  </si>
  <si>
    <t xml:space="preserve">Performance Insights</t>
  </si>
  <si>
    <t xml:space="preserve">Recommended Actions</t>
  </si>
  <si>
    <t xml:space="preserve">1</t>
  </si>
  <si>
    <t xml:space="preserve">Run a follow-up workshop for teams with low confidence scores (Marketing in particular).</t>
  </si>
  <si>
    <t xml:space="preserve">2</t>
  </si>
  <si>
    <t xml:space="preserve">Create department-specific prompt libraries to lift Prompt Quality where it lags.</t>
  </si>
  <si>
    <t xml:space="preserve">3</t>
  </si>
  <si>
    <t xml:space="preserve">Add Responsible AI reminders to onboarding so the 91% quiz baseline stays high.</t>
  </si>
  <si>
    <t xml:space="preserve">4</t>
  </si>
  <si>
    <t xml:space="preserve">Ask managers to discuss AI use cases monthly in 1:1s and team meetings.</t>
  </si>
  <si>
    <t xml:space="preserve">5</t>
  </si>
  <si>
    <t xml:space="preserve">Review medium-risk use cases jointly with HR, Legal, and IT before scaling them.</t>
  </si>
  <si>
    <t xml:space="preserve">Source: AI Adoption Program — internal dashboard. Generated for executive review.</t>
  </si>
  <si>
    <t xml:space="preserve">Chart Data (source)</t>
  </si>
  <si>
    <t xml:space="preserve">Before</t>
  </si>
  <si>
    <t xml:space="preserve">After</t>
  </si>
  <si>
    <t xml:space="preserve">Cust. Success</t>
  </si>
  <si>
    <t xml:space="preserve">Completion %</t>
  </si>
  <si>
    <t xml:space="preserve">Category</t>
  </si>
  <si>
    <t xml:space="preserve">Use Cases</t>
  </si>
  <si>
    <t xml:space="preserve">Drafting &amp; Writing</t>
  </si>
  <si>
    <t xml:space="preserve">Data Analysis</t>
  </si>
  <si>
    <t xml:space="preserve">Customer Support</t>
  </si>
  <si>
    <t xml:space="preserve">Coding &amp; Engineering</t>
  </si>
  <si>
    <t xml:space="preserve">Research</t>
  </si>
  <si>
    <t xml:space="preserve">Other</t>
  </si>
  <si>
    <t xml:space="preserve">Executive</t>
  </si>
  <si>
    <t xml:space="preserve">Individual Contributor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</si>
</sst>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%"/>
    <numFmt numFmtId="167" formatCode="\+0.0;\-0.0;0.0"/>
    <numFmt numFmtId="168" formatCode="#,##0"/>
    <numFmt numFmtId="169" formatCode="0.0&quot; / 5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262626"/>
      <name val="Calibri"/>
      <family val="0"/>
      <charset val="1"/>
    </font>
    <font>
      <sz val="11"/>
      <color rgb="FF262626"/>
      <name val="Calibri"/>
      <family val="0"/>
      <charset val="1"/>
    </font>
    <font>
      <b val="true"/>
      <sz val="11"/>
      <color rgb="FF0E7C7B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2E75B6"/>
      <name val="Calibri"/>
      <family val="0"/>
      <charset val="1"/>
    </font>
    <font>
      <b val="true"/>
      <sz val="11"/>
      <color rgb="FF70AD47"/>
      <name val="Calibri"/>
      <family val="0"/>
      <charset val="1"/>
    </font>
    <font>
      <b val="true"/>
      <sz val="11"/>
      <color rgb="FFED7D31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A6A6A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2E75B6"/>
        <bgColor rgb="FF4672A8"/>
      </patternFill>
    </fill>
    <fill>
      <patternFill patternType="solid">
        <fgColor rgb="FFF2F2F2"/>
        <bgColor rgb="FFF9F9F9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8CBAD"/>
        <bgColor rgb="FFFCE4D6"/>
      </patternFill>
    </fill>
    <fill>
      <patternFill patternType="solid">
        <fgColor rgb="FF70AD47"/>
        <bgColor rgb="FF9BBB59"/>
      </patternFill>
    </fill>
    <fill>
      <patternFill patternType="solid">
        <fgColor rgb="FF0E7C7B"/>
        <bgColor rgb="FF008080"/>
      </patternFill>
    </fill>
    <fill>
      <patternFill patternType="solid">
        <fgColor rgb="FFFFFFFF"/>
        <bgColor rgb="FFF9F9F9"/>
      </patternFill>
    </fill>
    <fill>
      <patternFill patternType="solid">
        <fgColor rgb="FFED7D31"/>
        <bgColor rgb="FFF79646"/>
      </patternFill>
    </fill>
    <fill>
      <patternFill patternType="solid">
        <fgColor rgb="FF5B9BD5"/>
        <bgColor rgb="FF4BACC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0E7C7B"/>
      <rgbColor rgb="FFBFBFBF"/>
      <rgbColor rgb="FF878787"/>
      <rgbColor rgb="FF93A9CE"/>
      <rgbColor rgb="FFC0504D"/>
      <rgbColor rgb="FFF9F9F9"/>
      <rgbColor rgb="FFF2F2F2"/>
      <rgbColor rgb="FF660066"/>
      <rgbColor rgb="FFFF8080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5B9BD5"/>
      <rgbColor rgb="FFFF99CC"/>
      <rgbColor rgb="FFCC99FF"/>
      <rgbColor rgb="FFF8CBAD"/>
      <rgbColor rgb="FF2E75B6"/>
      <rgbColor rgb="FF4BACC6"/>
      <rgbColor rgb="FF9BBB59"/>
      <rgbColor rgb="FFFFCC00"/>
      <rgbColor rgb="FFF79646"/>
      <rgbColor rgb="FFED7D31"/>
      <rgbColor rgb="FF8064A2"/>
      <rgbColor rgb="FFA6A6A6"/>
      <rgbColor rgb="FF1F3864"/>
      <rgbColor rgb="FF4F81BD"/>
      <rgbColor rgb="FF003300"/>
      <rgbColor rgb="FF333300"/>
      <rgbColor rgb="FF993300"/>
      <rgbColor rgb="FF993366"/>
      <rgbColor rgb="FF59595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Confidence — Before vs After (by Department)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Dashboard!B82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4672A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Dashboard!$A$83:$A$92</c:f>
              <c:strCache>
                <c:ptCount val="10"/>
                <c:pt idx="0">
                  <c:v>HR</c:v>
                </c:pt>
                <c:pt idx="1">
                  <c:v>Operations</c:v>
                </c:pt>
                <c:pt idx="2">
                  <c:v>Cust. Success</c:v>
                </c:pt>
                <c:pt idx="3">
                  <c:v>L&amp;D</c:v>
                </c:pt>
                <c:pt idx="4">
                  <c:v>Marketing</c:v>
                </c:pt>
                <c:pt idx="5">
                  <c:v>Product</c:v>
                </c:pt>
                <c:pt idx="6">
                  <c:v>Finance</c:v>
                </c:pt>
                <c:pt idx="7">
                  <c:v>Sales</c:v>
                </c:pt>
                <c:pt idx="8">
                  <c:v>Support</c:v>
                </c:pt>
                <c:pt idx="9">
                  <c:v>Engineering</c:v>
                </c:pt>
              </c:strCache>
            </c:strRef>
          </c:cat>
          <c:val>
            <c:numRef>
              <c:f>Dashboard!$B$83:$B$92</c:f>
              <c:numCache>
                <c:formatCode>General</c:formatCode>
                <c:ptCount val="10"/>
                <c:pt idx="0">
                  <c:v>2.7</c:v>
                </c:pt>
                <c:pt idx="1">
                  <c:v>2.4</c:v>
                </c:pt>
                <c:pt idx="2">
                  <c:v>2.1</c:v>
                </c:pt>
                <c:pt idx="3">
                  <c:v>3</c:v>
                </c:pt>
                <c:pt idx="4">
                  <c:v>2.5</c:v>
                </c:pt>
                <c:pt idx="5">
                  <c:v>2.8</c:v>
                </c:pt>
                <c:pt idx="6">
                  <c:v>2.2</c:v>
                </c:pt>
                <c:pt idx="7">
                  <c:v>2.5</c:v>
                </c:pt>
                <c:pt idx="8">
                  <c:v>2.6</c:v>
                </c:pt>
                <c:pt idx="9">
                  <c:v>2.3</c:v>
                </c:pt>
              </c:numCache>
            </c:numRef>
          </c:val>
        </c:ser>
        <c:ser>
          <c:idx val="1"/>
          <c:order val="1"/>
          <c:tx>
            <c:strRef>
              <c:f>Dashboard!C82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rgbClr val="93A9C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Dashboard!$A$83:$A$92</c:f>
              <c:strCache>
                <c:ptCount val="10"/>
                <c:pt idx="0">
                  <c:v>HR</c:v>
                </c:pt>
                <c:pt idx="1">
                  <c:v>Operations</c:v>
                </c:pt>
                <c:pt idx="2">
                  <c:v>Cust. Success</c:v>
                </c:pt>
                <c:pt idx="3">
                  <c:v>L&amp;D</c:v>
                </c:pt>
                <c:pt idx="4">
                  <c:v>Marketing</c:v>
                </c:pt>
                <c:pt idx="5">
                  <c:v>Product</c:v>
                </c:pt>
                <c:pt idx="6">
                  <c:v>Finance</c:v>
                </c:pt>
                <c:pt idx="7">
                  <c:v>Sales</c:v>
                </c:pt>
                <c:pt idx="8">
                  <c:v>Support</c:v>
                </c:pt>
                <c:pt idx="9">
                  <c:v>Engineering</c:v>
                </c:pt>
              </c:strCache>
            </c:strRef>
          </c:cat>
          <c:val>
            <c:numRef>
              <c:f>Dashboard!$C$83:$C$92</c:f>
              <c:numCache>
                <c:formatCode>General</c:formatCode>
                <c:ptCount val="10"/>
                <c:pt idx="0">
                  <c:v>4.3</c:v>
                </c:pt>
                <c:pt idx="1">
                  <c:v>4</c:v>
                </c:pt>
                <c:pt idx="2">
                  <c:v>4.1</c:v>
                </c:pt>
                <c:pt idx="3">
                  <c:v>4.5</c:v>
                </c:pt>
                <c:pt idx="4">
                  <c:v>2.9</c:v>
                </c:pt>
                <c:pt idx="5">
                  <c:v>4.2</c:v>
                </c:pt>
                <c:pt idx="6">
                  <c:v>3.9</c:v>
                </c:pt>
                <c:pt idx="7">
                  <c:v>4</c:v>
                </c:pt>
                <c:pt idx="8">
                  <c:v>4.2</c:v>
                </c:pt>
                <c:pt idx="9">
                  <c:v>4</c:v>
                </c:pt>
              </c:numCache>
            </c:numRef>
          </c:val>
        </c:ser>
        <c:gapWidth val="150"/>
        <c:overlap val="0"/>
        <c:axId val="774609"/>
        <c:axId val="98974881"/>
      </c:barChart>
      <c:catAx>
        <c:axId val="7746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974881"/>
        <c:crosses val="autoZero"/>
        <c:auto val="1"/>
        <c:lblAlgn val="ctr"/>
        <c:lblOffset val="100"/>
        <c:noMultiLvlLbl val="0"/>
      </c:catAx>
      <c:valAx>
        <c:axId val="98974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Confidence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46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Completion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Dashboard!B95</c:f>
              <c:strCache>
                <c:ptCount val="1"/>
                <c:pt idx="0">
                  <c:v>Completion %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Dashboard!$A$96:$A$105</c:f>
              <c:strCache>
                <c:ptCount val="10"/>
                <c:pt idx="0">
                  <c:v>HR</c:v>
                </c:pt>
                <c:pt idx="1">
                  <c:v>Operations</c:v>
                </c:pt>
                <c:pt idx="2">
                  <c:v>Cust. Success</c:v>
                </c:pt>
                <c:pt idx="3">
                  <c:v>L&amp;D</c:v>
                </c:pt>
                <c:pt idx="4">
                  <c:v>Marketing</c:v>
                </c:pt>
                <c:pt idx="5">
                  <c:v>Product</c:v>
                </c:pt>
                <c:pt idx="6">
                  <c:v>Finance</c:v>
                </c:pt>
                <c:pt idx="7">
                  <c:v>Sales</c:v>
                </c:pt>
                <c:pt idx="8">
                  <c:v>Support</c:v>
                </c:pt>
                <c:pt idx="9">
                  <c:v>Engineering</c:v>
                </c:pt>
              </c:strCache>
            </c:strRef>
          </c:cat>
          <c:val>
            <c:numRef>
              <c:f>Dashboard!$B$96:$B$105</c:f>
              <c:numCache>
                <c:formatCode>0%</c:formatCode>
                <c:ptCount val="10"/>
                <c:pt idx="0">
                  <c:v>0.92</c:v>
                </c:pt>
                <c:pt idx="1">
                  <c:v>0.85</c:v>
                </c:pt>
                <c:pt idx="2">
                  <c:v>0.88</c:v>
                </c:pt>
                <c:pt idx="3">
                  <c:v>0.95</c:v>
                </c:pt>
                <c:pt idx="4">
                  <c:v>0.62</c:v>
                </c:pt>
                <c:pt idx="5">
                  <c:v>0.9</c:v>
                </c:pt>
                <c:pt idx="6">
                  <c:v>0.84</c:v>
                </c:pt>
                <c:pt idx="7">
                  <c:v>0.86</c:v>
                </c:pt>
                <c:pt idx="8">
                  <c:v>0.91</c:v>
                </c:pt>
                <c:pt idx="9">
                  <c:v>0.87</c:v>
                </c:pt>
              </c:numCache>
            </c:numRef>
          </c:val>
        </c:ser>
        <c:gapWidth val="150"/>
        <c:overlap val="0"/>
        <c:axId val="87194698"/>
        <c:axId val="53934096"/>
      </c:barChart>
      <c:catAx>
        <c:axId val="8719469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Completion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934096"/>
        <c:crosses val="autoZero"/>
        <c:auto val="1"/>
        <c:lblAlgn val="ctr"/>
        <c:lblOffset val="100"/>
        <c:noMultiLvlLbl val="0"/>
      </c:catAx>
      <c:valAx>
        <c:axId val="53934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1946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Use Cases by Category (n = 47)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Dashboard!B108</c:f>
              <c:strCache>
                <c:ptCount val="1"/>
                <c:pt idx="0">
                  <c:v>Use Cases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Dashboard!$A$109:$A$114</c:f>
              <c:strCache>
                <c:ptCount val="6"/>
                <c:pt idx="0">
                  <c:v>Drafting &amp; Writing</c:v>
                </c:pt>
                <c:pt idx="1">
                  <c:v>Data Analysis</c:v>
                </c:pt>
                <c:pt idx="2">
                  <c:v>Customer Support</c:v>
                </c:pt>
                <c:pt idx="3">
                  <c:v>Coding &amp; Engineering</c:v>
                </c:pt>
                <c:pt idx="4">
                  <c:v>Research</c:v>
                </c:pt>
                <c:pt idx="5">
                  <c:v>Other</c:v>
                </c:pt>
              </c:strCache>
            </c:strRef>
          </c:cat>
          <c:val>
            <c:numRef>
              <c:f>Dashboard!$B$109:$B$114</c:f>
              <c:numCache>
                <c:formatCode>General</c:formatCode>
                <c:ptCount val="6"/>
                <c:pt idx="0">
                  <c:v>14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Active Weekly Usage by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Dashboard!B117</c:f>
              <c:strCache>
                <c:ptCount val="1"/>
                <c:pt idx="0">
                  <c:v>Active Weekly Usage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Dashboard!$A$118:$A$121</c:f>
              <c:strCache>
                <c:ptCount val="4"/>
                <c:pt idx="0">
                  <c:v>Manager</c:v>
                </c:pt>
                <c:pt idx="1">
                  <c:v>Employee</c:v>
                </c:pt>
                <c:pt idx="2">
                  <c:v>Executive</c:v>
                </c:pt>
                <c:pt idx="3">
                  <c:v>Individual Contributor</c:v>
                </c:pt>
              </c:strCache>
            </c:strRef>
          </c:cat>
          <c:val>
            <c:numRef>
              <c:f>Dashboard!$B$118:$B$121</c:f>
              <c:numCache>
                <c:formatCode>0%</c:formatCode>
                <c:ptCount val="4"/>
                <c:pt idx="0">
                  <c:v>0.82</c:v>
                </c:pt>
                <c:pt idx="1">
                  <c:v>0.63</c:v>
                </c:pt>
                <c:pt idx="2">
                  <c:v>0.74</c:v>
                </c:pt>
                <c:pt idx="3">
                  <c:v>0.66</c:v>
                </c:pt>
              </c:numCache>
            </c:numRef>
          </c:val>
        </c:ser>
        <c:gapWidth val="150"/>
        <c:overlap val="0"/>
        <c:axId val="91708022"/>
        <c:axId val="47626331"/>
      </c:barChart>
      <c:catAx>
        <c:axId val="91708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626331"/>
        <c:crosses val="autoZero"/>
        <c:auto val="1"/>
        <c:lblAlgn val="ctr"/>
        <c:lblOffset val="100"/>
        <c:noMultiLvlLbl val="0"/>
      </c:catAx>
      <c:valAx>
        <c:axId val="47626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Usage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7080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Prompt Quality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Dashboard!B124</c:f>
              <c:strCache>
                <c:ptCount val="1"/>
                <c:pt idx="0">
                  <c:v>Prompt Quality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Dashboard!$A$125:$A$134</c:f>
              <c:strCache>
                <c:ptCount val="10"/>
                <c:pt idx="0">
                  <c:v>HR</c:v>
                </c:pt>
                <c:pt idx="1">
                  <c:v>Operations</c:v>
                </c:pt>
                <c:pt idx="2">
                  <c:v>Cust. Success</c:v>
                </c:pt>
                <c:pt idx="3">
                  <c:v>L&amp;D</c:v>
                </c:pt>
                <c:pt idx="4">
                  <c:v>Marketing</c:v>
                </c:pt>
                <c:pt idx="5">
                  <c:v>Product</c:v>
                </c:pt>
                <c:pt idx="6">
                  <c:v>Finance</c:v>
                </c:pt>
                <c:pt idx="7">
                  <c:v>Sales</c:v>
                </c:pt>
                <c:pt idx="8">
                  <c:v>Support</c:v>
                </c:pt>
                <c:pt idx="9">
                  <c:v>Engineering</c:v>
                </c:pt>
              </c:strCache>
            </c:strRef>
          </c:cat>
          <c:val>
            <c:numRef>
              <c:f>Dashboard!$B$125:$B$134</c:f>
              <c:numCache>
                <c:formatCode>0%</c:formatCode>
                <c:ptCount val="10"/>
                <c:pt idx="0">
                  <c:v>0.84</c:v>
                </c:pt>
                <c:pt idx="1">
                  <c:v>0.8</c:v>
                </c:pt>
                <c:pt idx="2">
                  <c:v>0.83</c:v>
                </c:pt>
                <c:pt idx="3">
                  <c:v>0.9</c:v>
                </c:pt>
                <c:pt idx="4">
                  <c:v>0.6</c:v>
                </c:pt>
                <c:pt idx="5">
                  <c:v>0.85</c:v>
                </c:pt>
                <c:pt idx="6">
                  <c:v>0.79</c:v>
                </c:pt>
                <c:pt idx="7">
                  <c:v>0.82</c:v>
                </c:pt>
                <c:pt idx="8">
                  <c:v>0.86</c:v>
                </c:pt>
                <c:pt idx="9">
                  <c:v>0.81</c:v>
                </c:pt>
              </c:numCache>
            </c:numRef>
          </c:val>
        </c:ser>
        <c:gapWidth val="150"/>
        <c:overlap val="0"/>
        <c:axId val="99890933"/>
        <c:axId val="93719635"/>
      </c:barChart>
      <c:catAx>
        <c:axId val="99890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719635"/>
        <c:crosses val="autoZero"/>
        <c:auto val="1"/>
        <c:lblAlgn val="ctr"/>
        <c:lblOffset val="100"/>
        <c:noMultiLvlLbl val="0"/>
      </c:catAx>
      <c:valAx>
        <c:axId val="93719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Quality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8909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8</xdr:col>
      <xdr:colOff>276840</xdr:colOff>
      <xdr:row>31</xdr:row>
      <xdr:rowOff>1080</xdr:rowOff>
    </xdr:to>
    <xdr:graphicFrame>
      <xdr:nvGraphicFramePr>
        <xdr:cNvPr id="1" name="Chart 1"/>
        <xdr:cNvGraphicFramePr/>
      </xdr:nvGraphicFramePr>
      <xdr:xfrm>
        <a:off x="0" y="3943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17</xdr:col>
      <xdr:colOff>276840</xdr:colOff>
      <xdr:row>31</xdr:row>
      <xdr:rowOff>1080</xdr:rowOff>
    </xdr:to>
    <xdr:graphicFrame>
      <xdr:nvGraphicFramePr>
        <xdr:cNvPr id="2" name="Chart 2"/>
        <xdr:cNvGraphicFramePr/>
      </xdr:nvGraphicFramePr>
      <xdr:xfrm>
        <a:off x="6977880" y="3943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8</xdr:col>
      <xdr:colOff>276840</xdr:colOff>
      <xdr:row>50</xdr:row>
      <xdr:rowOff>1080</xdr:rowOff>
    </xdr:to>
    <xdr:graphicFrame>
      <xdr:nvGraphicFramePr>
        <xdr:cNvPr id="3" name="Chart 3"/>
        <xdr:cNvGraphicFramePr/>
      </xdr:nvGraphicFramePr>
      <xdr:xfrm>
        <a:off x="0" y="7562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17</xdr:col>
      <xdr:colOff>276840</xdr:colOff>
      <xdr:row>50</xdr:row>
      <xdr:rowOff>1080</xdr:rowOff>
    </xdr:to>
    <xdr:graphicFrame>
      <xdr:nvGraphicFramePr>
        <xdr:cNvPr id="4" name="Chart 4"/>
        <xdr:cNvGraphicFramePr/>
      </xdr:nvGraphicFramePr>
      <xdr:xfrm>
        <a:off x="6977880" y="7562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52</xdr:row>
      <xdr:rowOff>0</xdr:rowOff>
    </xdr:from>
    <xdr:to>
      <xdr:col>16</xdr:col>
      <xdr:colOff>554400</xdr:colOff>
      <xdr:row>69</xdr:row>
      <xdr:rowOff>1080</xdr:rowOff>
    </xdr:to>
    <xdr:graphicFrame>
      <xdr:nvGraphicFramePr>
        <xdr:cNvPr id="5" name="Chart 5"/>
        <xdr:cNvGraphicFramePr/>
      </xdr:nvGraphicFramePr>
      <xdr:xfrm>
        <a:off x="0" y="11182320"/>
        <a:ext cx="12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5" t="s">
        <v>16</v>
      </c>
      <c r="D5" s="5" t="s">
        <v>17</v>
      </c>
      <c r="E5" s="6" t="n">
        <v>2.7</v>
      </c>
      <c r="F5" s="6" t="n">
        <v>4.3</v>
      </c>
      <c r="G5" s="7" t="n">
        <v>0.92</v>
      </c>
      <c r="H5" s="5" t="s">
        <v>17</v>
      </c>
      <c r="I5" s="5" t="n">
        <v>2</v>
      </c>
      <c r="J5" s="7" t="n">
        <v>0.84</v>
      </c>
      <c r="K5" s="6" t="n">
        <v>4.6</v>
      </c>
      <c r="L5" s="8" t="n">
        <f aca="false">F5-E5</f>
        <v>1.6</v>
      </c>
    </row>
    <row r="6" customFormat="false" ht="15" hidden="false" customHeight="false" outlineLevel="0" collapsed="false">
      <c r="A6" s="9" t="s">
        <v>18</v>
      </c>
      <c r="B6" s="10" t="s">
        <v>19</v>
      </c>
      <c r="C6" s="10" t="s">
        <v>2</v>
      </c>
      <c r="D6" s="10" t="s">
        <v>17</v>
      </c>
      <c r="E6" s="11" t="n">
        <v>2.4</v>
      </c>
      <c r="F6" s="11" t="n">
        <v>4</v>
      </c>
      <c r="G6" s="12" t="n">
        <v>0.88</v>
      </c>
      <c r="H6" s="10" t="s">
        <v>17</v>
      </c>
      <c r="I6" s="10" t="n">
        <v>1</v>
      </c>
      <c r="J6" s="12" t="n">
        <v>0.8</v>
      </c>
      <c r="K6" s="11" t="n">
        <v>4.3</v>
      </c>
      <c r="L6" s="13" t="n">
        <f aca="false">F6-E6</f>
        <v>1.6</v>
      </c>
    </row>
    <row r="7" customFormat="false" ht="15" hidden="false" customHeight="false" outlineLevel="0" collapsed="false">
      <c r="A7" s="4" t="s">
        <v>20</v>
      </c>
      <c r="B7" s="5" t="s">
        <v>21</v>
      </c>
      <c r="C7" s="5" t="s">
        <v>2</v>
      </c>
      <c r="D7" s="5" t="s">
        <v>17</v>
      </c>
      <c r="E7" s="6" t="n">
        <v>2.1</v>
      </c>
      <c r="F7" s="6" t="n">
        <v>4.1</v>
      </c>
      <c r="G7" s="7" t="n">
        <v>0.91</v>
      </c>
      <c r="H7" s="5" t="s">
        <v>17</v>
      </c>
      <c r="I7" s="5" t="n">
        <v>2</v>
      </c>
      <c r="J7" s="7" t="n">
        <v>0.83</v>
      </c>
      <c r="K7" s="6" t="n">
        <v>4.5</v>
      </c>
      <c r="L7" s="8" t="n">
        <f aca="false">F7-E7</f>
        <v>2</v>
      </c>
    </row>
    <row r="8" customFormat="false" ht="15" hidden="false" customHeight="false" outlineLevel="0" collapsed="false">
      <c r="A8" s="9" t="s">
        <v>22</v>
      </c>
      <c r="B8" s="10" t="s">
        <v>23</v>
      </c>
      <c r="C8" s="10" t="s">
        <v>16</v>
      </c>
      <c r="D8" s="10" t="s">
        <v>17</v>
      </c>
      <c r="E8" s="11" t="n">
        <v>3</v>
      </c>
      <c r="F8" s="11" t="n">
        <v>4.5</v>
      </c>
      <c r="G8" s="12" t="n">
        <v>0.95</v>
      </c>
      <c r="H8" s="10" t="s">
        <v>17</v>
      </c>
      <c r="I8" s="10" t="n">
        <v>3</v>
      </c>
      <c r="J8" s="12" t="n">
        <v>0.9</v>
      </c>
      <c r="K8" s="11" t="n">
        <v>4.7</v>
      </c>
      <c r="L8" s="13" t="n">
        <f aca="false">F8-E8</f>
        <v>1.5</v>
      </c>
    </row>
    <row r="9" customFormat="false" ht="15" hidden="false" customHeight="false" outlineLevel="0" collapsed="false">
      <c r="A9" s="4" t="s">
        <v>24</v>
      </c>
      <c r="B9" s="5" t="s">
        <v>25</v>
      </c>
      <c r="C9" s="5" t="s">
        <v>2</v>
      </c>
      <c r="D9" s="5" t="s">
        <v>26</v>
      </c>
      <c r="E9" s="6" t="n">
        <v>2.5</v>
      </c>
      <c r="F9" s="6" t="n">
        <v>2.9</v>
      </c>
      <c r="G9" s="7" t="n">
        <v>0.7</v>
      </c>
      <c r="H9" s="5" t="s">
        <v>26</v>
      </c>
      <c r="I9" s="5" t="n">
        <v>0</v>
      </c>
      <c r="J9" s="7" t="n">
        <v>0.6</v>
      </c>
      <c r="K9" s="6" t="n">
        <v>3.2</v>
      </c>
      <c r="L9" s="8" t="n">
        <f aca="false">F9-E9</f>
        <v>0.4</v>
      </c>
    </row>
    <row r="10" customFormat="false" ht="15" hidden="false" customHeight="false" outlineLevel="0" collapsed="false">
      <c r="A10" s="9" t="s">
        <v>27</v>
      </c>
      <c r="B10" s="10" t="s">
        <v>28</v>
      </c>
      <c r="C10" s="10" t="s">
        <v>16</v>
      </c>
      <c r="D10" s="10" t="s">
        <v>17</v>
      </c>
      <c r="E10" s="11" t="n">
        <v>2.8</v>
      </c>
      <c r="F10" s="11" t="n">
        <v>4.2</v>
      </c>
      <c r="G10" s="12" t="n">
        <v>0.9</v>
      </c>
      <c r="H10" s="10" t="s">
        <v>17</v>
      </c>
      <c r="I10" s="10" t="n">
        <v>2</v>
      </c>
      <c r="J10" s="12" t="n">
        <v>0.85</v>
      </c>
      <c r="K10" s="11" t="n">
        <v>4.5</v>
      </c>
      <c r="L10" s="13" t="n">
        <f aca="false">F10-E10</f>
        <v>1.4</v>
      </c>
    </row>
    <row r="11" customFormat="false" ht="15" hidden="false" customHeight="false" outlineLevel="0" collapsed="false">
      <c r="A11" s="4" t="s">
        <v>29</v>
      </c>
      <c r="B11" s="5" t="s">
        <v>30</v>
      </c>
      <c r="C11" s="5" t="s">
        <v>2</v>
      </c>
      <c r="D11" s="5" t="s">
        <v>17</v>
      </c>
      <c r="E11" s="6" t="n">
        <v>2.2</v>
      </c>
      <c r="F11" s="6" t="n">
        <v>3.9</v>
      </c>
      <c r="G11" s="7" t="n">
        <v>0.87</v>
      </c>
      <c r="H11" s="5" t="s">
        <v>17</v>
      </c>
      <c r="I11" s="5" t="n">
        <v>1</v>
      </c>
      <c r="J11" s="7" t="n">
        <v>0.79</v>
      </c>
      <c r="K11" s="6" t="n">
        <v>4.1</v>
      </c>
      <c r="L11" s="8" t="n">
        <f aca="false">F11-E11</f>
        <v>1.7</v>
      </c>
    </row>
    <row r="12" customFormat="false" ht="15" hidden="false" customHeight="false" outlineLevel="0" collapsed="false">
      <c r="A12" s="9" t="s">
        <v>31</v>
      </c>
      <c r="B12" s="10" t="s">
        <v>32</v>
      </c>
      <c r="C12" s="10" t="s">
        <v>2</v>
      </c>
      <c r="D12" s="10" t="s">
        <v>17</v>
      </c>
      <c r="E12" s="11" t="n">
        <v>2.5</v>
      </c>
      <c r="F12" s="11" t="n">
        <v>4</v>
      </c>
      <c r="G12" s="12" t="n">
        <v>0.89</v>
      </c>
      <c r="H12" s="10" t="s">
        <v>17</v>
      </c>
      <c r="I12" s="10" t="n">
        <v>2</v>
      </c>
      <c r="J12" s="12" t="n">
        <v>0.82</v>
      </c>
      <c r="K12" s="11" t="n">
        <v>4.2</v>
      </c>
      <c r="L12" s="13" t="n">
        <f aca="false">F12-E12</f>
        <v>1.5</v>
      </c>
    </row>
    <row r="13" customFormat="false" ht="15" hidden="false" customHeight="false" outlineLevel="0" collapsed="false">
      <c r="A13" s="4" t="s">
        <v>33</v>
      </c>
      <c r="B13" s="5" t="s">
        <v>34</v>
      </c>
      <c r="C13" s="5" t="s">
        <v>16</v>
      </c>
      <c r="D13" s="5" t="s">
        <v>17</v>
      </c>
      <c r="E13" s="6" t="n">
        <v>2.6</v>
      </c>
      <c r="F13" s="6" t="n">
        <v>4.2</v>
      </c>
      <c r="G13" s="7" t="n">
        <v>0.93</v>
      </c>
      <c r="H13" s="5" t="s">
        <v>17</v>
      </c>
      <c r="I13" s="5" t="n">
        <v>3</v>
      </c>
      <c r="J13" s="7" t="n">
        <v>0.86</v>
      </c>
      <c r="K13" s="6" t="n">
        <v>4.6</v>
      </c>
      <c r="L13" s="8" t="n">
        <f aca="false">F13-E13</f>
        <v>1.6</v>
      </c>
    </row>
    <row r="14" customFormat="false" ht="15" hidden="false" customHeight="false" outlineLevel="0" collapsed="false">
      <c r="A14" s="9" t="s">
        <v>35</v>
      </c>
      <c r="B14" s="10" t="s">
        <v>36</v>
      </c>
      <c r="C14" s="10" t="s">
        <v>2</v>
      </c>
      <c r="D14" s="10" t="s">
        <v>17</v>
      </c>
      <c r="E14" s="11" t="n">
        <v>2.3</v>
      </c>
      <c r="F14" s="11" t="n">
        <v>4</v>
      </c>
      <c r="G14" s="12" t="n">
        <v>0.9</v>
      </c>
      <c r="H14" s="10" t="s">
        <v>17</v>
      </c>
      <c r="I14" s="10" t="n">
        <v>1</v>
      </c>
      <c r="J14" s="12" t="n">
        <v>0.81</v>
      </c>
      <c r="K14" s="11" t="n">
        <v>4.2</v>
      </c>
      <c r="L14" s="13" t="n">
        <f aca="false">F14-E14</f>
        <v>1.7</v>
      </c>
    </row>
  </sheetData>
  <mergeCells count="2">
    <mergeCell ref="A1:L1"/>
    <mergeCell ref="A2:L2"/>
  </mergeCells>
  <conditionalFormatting sqref="L5:L14">
    <cfRule type="colorScale" priority="2">
      <colorScale>
        <cfvo type="min" val="0"/>
        <cfvo type="percentile" val="50"/>
        <cfvo type="max" val="0"/>
        <color rgb="FFF8CBAD"/>
        <color rgb="FFFFEB9C"/>
        <color rgb="FFC6EFCE"/>
      </colorScale>
    </cfRule>
  </conditionalFormatting>
  <conditionalFormatting sqref="G5:G14">
    <cfRule type="colorScale" priority="3">
      <colorScale>
        <cfvo type="num" val="0.5"/>
        <cfvo type="num" val="0.8"/>
        <cfvo type="num" val="1"/>
        <color rgb="FFF8CBAD"/>
        <color rgb="FFFFEB9C"/>
        <color rgb="FFC6EFCE"/>
      </colorScale>
    </cfRule>
  </conditionalFormatting>
  <conditionalFormatting sqref="J5:J14">
    <cfRule type="colorScale" priority="4">
      <colorScale>
        <cfvo type="num" val="0.5"/>
        <cfvo type="num" val="0.8"/>
        <cfvo type="num" val="1"/>
        <color rgb="FFF8CBAD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16"/>
  </cols>
  <sheetData>
    <row r="1" customFormat="false" ht="31.5" hidden="false" customHeight="true" outlineLevel="0" collapsed="false">
      <c r="A1" s="1" t="s">
        <v>37</v>
      </c>
      <c r="B1" s="1"/>
      <c r="C1" s="1"/>
      <c r="D1" s="1"/>
    </row>
    <row r="2" customFormat="false" ht="21.75" hidden="false" customHeight="true" outlineLevel="0" collapsed="false">
      <c r="A2" s="2" t="s">
        <v>38</v>
      </c>
      <c r="B2" s="2"/>
      <c r="C2" s="2"/>
      <c r="D2" s="2"/>
    </row>
    <row r="4" customFormat="false" ht="30" hidden="false" customHeight="true" outlineLevel="0" collapsed="false">
      <c r="A4" s="3" t="s">
        <v>39</v>
      </c>
      <c r="B4" s="3" t="s">
        <v>40</v>
      </c>
      <c r="C4" s="3" t="s">
        <v>41</v>
      </c>
      <c r="D4" s="3" t="s">
        <v>42</v>
      </c>
    </row>
    <row r="5" customFormat="false" ht="24" hidden="false" customHeight="true" outlineLevel="0" collapsed="false">
      <c r="A5" s="14" t="n">
        <v>1</v>
      </c>
      <c r="B5" s="4" t="s">
        <v>43</v>
      </c>
      <c r="C5" s="15" t="n">
        <v>120</v>
      </c>
      <c r="D5" s="16" t="s">
        <v>44</v>
      </c>
    </row>
    <row r="6" customFormat="false" ht="24" hidden="false" customHeight="true" outlineLevel="0" collapsed="false">
      <c r="A6" s="14" t="n">
        <v>2</v>
      </c>
      <c r="B6" s="9" t="s">
        <v>45</v>
      </c>
      <c r="C6" s="17" t="n">
        <v>0.86</v>
      </c>
      <c r="D6" s="18" t="s">
        <v>46</v>
      </c>
    </row>
    <row r="7" customFormat="false" ht="24" hidden="false" customHeight="true" outlineLevel="0" collapsed="false">
      <c r="A7" s="14" t="n">
        <v>3</v>
      </c>
      <c r="B7" s="4" t="s">
        <v>47</v>
      </c>
      <c r="C7" s="17" t="n">
        <v>0.78</v>
      </c>
      <c r="D7" s="19" t="s">
        <v>48</v>
      </c>
    </row>
    <row r="8" customFormat="false" ht="24" hidden="false" customHeight="true" outlineLevel="0" collapsed="false">
      <c r="A8" s="14" t="n">
        <v>4</v>
      </c>
      <c r="B8" s="9" t="s">
        <v>49</v>
      </c>
      <c r="C8" s="20" t="n">
        <v>2.4</v>
      </c>
      <c r="D8" s="21" t="s">
        <v>50</v>
      </c>
    </row>
    <row r="9" customFormat="false" ht="24" hidden="false" customHeight="true" outlineLevel="0" collapsed="false">
      <c r="A9" s="14" t="n">
        <v>5</v>
      </c>
      <c r="B9" s="4" t="s">
        <v>51</v>
      </c>
      <c r="C9" s="20" t="n">
        <v>4.1</v>
      </c>
      <c r="D9" s="18" t="s">
        <v>46</v>
      </c>
    </row>
    <row r="10" customFormat="false" ht="24" hidden="false" customHeight="true" outlineLevel="0" collapsed="false">
      <c r="A10" s="14" t="n">
        <v>6</v>
      </c>
      <c r="B10" s="9" t="s">
        <v>52</v>
      </c>
      <c r="C10" s="17" t="n">
        <v>0.68</v>
      </c>
      <c r="D10" s="21" t="s">
        <v>50</v>
      </c>
    </row>
    <row r="11" customFormat="false" ht="24" hidden="false" customHeight="true" outlineLevel="0" collapsed="false">
      <c r="A11" s="14" t="n">
        <v>7</v>
      </c>
      <c r="B11" s="4" t="s">
        <v>53</v>
      </c>
      <c r="C11" s="15" t="n">
        <v>47</v>
      </c>
      <c r="D11" s="16" t="s">
        <v>44</v>
      </c>
    </row>
    <row r="12" customFormat="false" ht="24" hidden="false" customHeight="true" outlineLevel="0" collapsed="false">
      <c r="A12" s="14" t="n">
        <v>8</v>
      </c>
      <c r="B12" s="9" t="s">
        <v>54</v>
      </c>
      <c r="C12" s="20" t="n">
        <v>4.4</v>
      </c>
      <c r="D12" s="18" t="s">
        <v>46</v>
      </c>
    </row>
    <row r="13" customFormat="false" ht="24" hidden="false" customHeight="true" outlineLevel="0" collapsed="false">
      <c r="A13" s="14" t="n">
        <v>9</v>
      </c>
      <c r="B13" s="4" t="s">
        <v>55</v>
      </c>
      <c r="C13" s="17" t="n">
        <v>0.91</v>
      </c>
      <c r="D13" s="18" t="s">
        <v>46</v>
      </c>
    </row>
    <row r="14" customFormat="false" ht="24" hidden="false" customHeight="true" outlineLevel="0" collapsed="false">
      <c r="A14" s="14" t="n">
        <v>10</v>
      </c>
      <c r="B14" s="9" t="s">
        <v>56</v>
      </c>
      <c r="C14" s="17" t="n">
        <v>0.82</v>
      </c>
      <c r="D14" s="19" t="s">
        <v>48</v>
      </c>
    </row>
    <row r="16" customFormat="false" ht="24" hidden="false" customHeight="true" outlineLevel="0" collapsed="false">
      <c r="A16" s="22" t="s">
        <v>57</v>
      </c>
      <c r="B16" s="22"/>
      <c r="C16" s="22"/>
      <c r="D16" s="22"/>
    </row>
  </sheetData>
  <mergeCells count="3">
    <mergeCell ref="A1:D1"/>
    <mergeCell ref="A2:D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1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11"/>
  </cols>
  <sheetData>
    <row r="1" customFormat="false" ht="43.5" hidden="false" customHeight="true" outlineLevel="0" collapsed="false">
      <c r="A1" s="23" t="s">
        <v>58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customFormat="false" ht="24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A4" s="24" t="s">
        <v>60</v>
      </c>
      <c r="B4" s="24"/>
      <c r="C4" s="24"/>
      <c r="D4" s="24"/>
      <c r="E4" s="24"/>
      <c r="F4" s="24"/>
      <c r="G4" s="25" t="s">
        <v>61</v>
      </c>
      <c r="H4" s="25"/>
      <c r="I4" s="25"/>
      <c r="J4" s="25"/>
      <c r="K4" s="25"/>
      <c r="L4" s="25"/>
      <c r="M4" s="26" t="s">
        <v>62</v>
      </c>
      <c r="N4" s="26"/>
      <c r="O4" s="26"/>
      <c r="P4" s="26"/>
      <c r="Q4" s="26"/>
      <c r="R4" s="26"/>
    </row>
    <row r="5" customFormat="false" ht="27.75" hidden="false" customHeight="true" outlineLevel="0" collapsed="false">
      <c r="A5" s="27" t="s">
        <v>63</v>
      </c>
      <c r="B5" s="27"/>
      <c r="C5" s="27"/>
      <c r="D5" s="27"/>
      <c r="E5" s="27"/>
      <c r="F5" s="27"/>
      <c r="G5" s="27" t="s">
        <v>64</v>
      </c>
      <c r="H5" s="27"/>
      <c r="I5" s="27"/>
      <c r="J5" s="27"/>
      <c r="K5" s="27"/>
      <c r="L5" s="27"/>
      <c r="M5" s="27" t="s">
        <v>65</v>
      </c>
      <c r="N5" s="27"/>
      <c r="O5" s="27"/>
      <c r="P5" s="27"/>
      <c r="Q5" s="27"/>
      <c r="R5" s="27"/>
    </row>
    <row r="6" customFormat="false" ht="21.75" hidden="false" customHeight="true" outlineLevel="0" collapsed="false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customFormat="false" ht="19.5" hidden="false" customHeight="true" outlineLevel="0" collapsed="false">
      <c r="A7" s="28" t="s">
        <v>66</v>
      </c>
      <c r="B7" s="28"/>
      <c r="C7" s="28"/>
      <c r="D7" s="28"/>
      <c r="E7" s="28"/>
      <c r="F7" s="28"/>
      <c r="G7" s="28" t="s">
        <v>67</v>
      </c>
      <c r="H7" s="28"/>
      <c r="I7" s="28"/>
      <c r="J7" s="28"/>
      <c r="K7" s="28"/>
      <c r="L7" s="28"/>
      <c r="M7" s="28" t="s">
        <v>68</v>
      </c>
      <c r="N7" s="28"/>
      <c r="O7" s="28"/>
      <c r="P7" s="28"/>
      <c r="Q7" s="28"/>
      <c r="R7" s="28"/>
    </row>
    <row r="8" customFormat="false" ht="7.5" hidden="false" customHeight="true" outlineLevel="0" collapsed="false"/>
    <row r="9" customFormat="false" ht="21.75" hidden="false" customHeight="true" outlineLevel="0" collapsed="false">
      <c r="A9" s="29" t="s">
        <v>69</v>
      </c>
      <c r="B9" s="29"/>
      <c r="C9" s="29"/>
      <c r="D9" s="29"/>
      <c r="E9" s="29"/>
      <c r="F9" s="29"/>
      <c r="G9" s="24" t="s">
        <v>70</v>
      </c>
      <c r="H9" s="24"/>
      <c r="I9" s="24"/>
      <c r="J9" s="24"/>
      <c r="K9" s="24"/>
      <c r="L9" s="24"/>
      <c r="M9" s="30" t="s">
        <v>71</v>
      </c>
      <c r="N9" s="30"/>
      <c r="O9" s="30"/>
      <c r="P9" s="30"/>
      <c r="Q9" s="30"/>
      <c r="R9" s="30"/>
    </row>
    <row r="10" customFormat="false" ht="27.75" hidden="false" customHeight="true" outlineLevel="0" collapsed="false">
      <c r="A10" s="27" t="s">
        <v>72</v>
      </c>
      <c r="B10" s="27"/>
      <c r="C10" s="27"/>
      <c r="D10" s="27"/>
      <c r="E10" s="27"/>
      <c r="F10" s="27"/>
      <c r="G10" s="27" t="s">
        <v>73</v>
      </c>
      <c r="H10" s="27"/>
      <c r="I10" s="27"/>
      <c r="J10" s="27"/>
      <c r="K10" s="27"/>
      <c r="L10" s="27"/>
      <c r="M10" s="27" t="s">
        <v>74</v>
      </c>
      <c r="N10" s="27"/>
      <c r="O10" s="27"/>
      <c r="P10" s="27"/>
      <c r="Q10" s="27"/>
      <c r="R10" s="27"/>
    </row>
    <row r="11" customFormat="false" ht="21.75" hidden="false" customHeight="true" outlineLevel="0" collapsed="false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customFormat="false" ht="19.5" hidden="false" customHeight="true" outlineLevel="0" collapsed="false">
      <c r="A12" s="28" t="s">
        <v>75</v>
      </c>
      <c r="B12" s="28"/>
      <c r="C12" s="28"/>
      <c r="D12" s="28"/>
      <c r="E12" s="28"/>
      <c r="F12" s="28"/>
      <c r="G12" s="28" t="s">
        <v>76</v>
      </c>
      <c r="H12" s="28"/>
      <c r="I12" s="28"/>
      <c r="J12" s="28"/>
      <c r="K12" s="28"/>
      <c r="L12" s="28"/>
      <c r="M12" s="28" t="s">
        <v>77</v>
      </c>
      <c r="N12" s="28"/>
      <c r="O12" s="28"/>
      <c r="P12" s="28"/>
      <c r="Q12" s="28"/>
      <c r="R12" s="28"/>
    </row>
    <row r="13" customFormat="false" ht="13.5" hidden="false" customHeight="true" outlineLevel="0" collapsed="false"/>
    <row r="14" customFormat="false" ht="25.5" hidden="false" customHeight="true" outlineLevel="0" collapsed="false">
      <c r="A14" s="31" t="s">
        <v>78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  <row r="72" customFormat="false" ht="25.5" hidden="false" customHeight="true" outlineLevel="0" collapsed="false">
      <c r="A72" s="31" t="s">
        <v>79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</row>
    <row r="73" customFormat="false" ht="25.5" hidden="false" customHeight="true" outlineLevel="0" collapsed="false">
      <c r="A73" s="32" t="s">
        <v>80</v>
      </c>
      <c r="B73" s="33" t="s">
        <v>81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</row>
    <row r="74" customFormat="false" ht="25.5" hidden="false" customHeight="true" outlineLevel="0" collapsed="false">
      <c r="A74" s="32" t="s">
        <v>82</v>
      </c>
      <c r="B74" s="34" t="s">
        <v>83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</row>
    <row r="75" customFormat="false" ht="25.5" hidden="false" customHeight="true" outlineLevel="0" collapsed="false">
      <c r="A75" s="32" t="s">
        <v>84</v>
      </c>
      <c r="B75" s="33" t="s">
        <v>85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</row>
    <row r="76" customFormat="false" ht="25.5" hidden="false" customHeight="true" outlineLevel="0" collapsed="false">
      <c r="A76" s="32" t="s">
        <v>86</v>
      </c>
      <c r="B76" s="34" t="s">
        <v>87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</row>
    <row r="77" customFormat="false" ht="25.5" hidden="false" customHeight="true" outlineLevel="0" collapsed="false">
      <c r="A77" s="32" t="s">
        <v>88</v>
      </c>
      <c r="B77" s="33" t="s">
        <v>89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</row>
    <row r="79" customFormat="false" ht="15" hidden="false" customHeight="true" outlineLevel="0" collapsed="false">
      <c r="A79" s="35" t="s">
        <v>90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</row>
    <row r="80" customFormat="false" ht="15" hidden="false" customHeight="false" outlineLevel="0" collapsed="false">
      <c r="A80" s="36" t="s">
        <v>91</v>
      </c>
      <c r="B80" s="36"/>
      <c r="C80" s="36"/>
    </row>
    <row r="81" customFormat="false" ht="15" hidden="false" customHeight="false" outlineLevel="0" collapsed="false">
      <c r="A81" s="36"/>
      <c r="B81" s="36"/>
      <c r="C81" s="36"/>
    </row>
    <row r="82" customFormat="false" ht="15" hidden="false" customHeight="false" outlineLevel="0" collapsed="false">
      <c r="A82" s="36" t="s">
        <v>3</v>
      </c>
      <c r="B82" s="36" t="s">
        <v>92</v>
      </c>
      <c r="C82" s="36" t="s">
        <v>93</v>
      </c>
    </row>
    <row r="83" customFormat="false" ht="15" hidden="false" customHeight="false" outlineLevel="0" collapsed="false">
      <c r="A83" s="36" t="s">
        <v>15</v>
      </c>
      <c r="B83" s="36" t="n">
        <v>2.7</v>
      </c>
      <c r="C83" s="36" t="n">
        <v>4.3</v>
      </c>
    </row>
    <row r="84" customFormat="false" ht="15" hidden="false" customHeight="false" outlineLevel="0" collapsed="false">
      <c r="A84" s="36" t="s">
        <v>19</v>
      </c>
      <c r="B84" s="36" t="n">
        <v>2.4</v>
      </c>
      <c r="C84" s="36" t="n">
        <v>4</v>
      </c>
    </row>
    <row r="85" customFormat="false" ht="15" hidden="false" customHeight="false" outlineLevel="0" collapsed="false">
      <c r="A85" s="36" t="s">
        <v>94</v>
      </c>
      <c r="B85" s="36" t="n">
        <v>2.1</v>
      </c>
      <c r="C85" s="36" t="n">
        <v>4.1</v>
      </c>
    </row>
    <row r="86" customFormat="false" ht="15" hidden="false" customHeight="false" outlineLevel="0" collapsed="false">
      <c r="A86" s="36" t="s">
        <v>23</v>
      </c>
      <c r="B86" s="36" t="n">
        <v>3</v>
      </c>
      <c r="C86" s="36" t="n">
        <v>4.5</v>
      </c>
    </row>
    <row r="87" customFormat="false" ht="15" hidden="false" customHeight="false" outlineLevel="0" collapsed="false">
      <c r="A87" s="36" t="s">
        <v>25</v>
      </c>
      <c r="B87" s="36" t="n">
        <v>2.5</v>
      </c>
      <c r="C87" s="36" t="n">
        <v>2.9</v>
      </c>
    </row>
    <row r="88" customFormat="false" ht="15" hidden="false" customHeight="false" outlineLevel="0" collapsed="false">
      <c r="A88" s="36" t="s">
        <v>28</v>
      </c>
      <c r="B88" s="36" t="n">
        <v>2.8</v>
      </c>
      <c r="C88" s="36" t="n">
        <v>4.2</v>
      </c>
    </row>
    <row r="89" customFormat="false" ht="15" hidden="false" customHeight="false" outlineLevel="0" collapsed="false">
      <c r="A89" s="36" t="s">
        <v>30</v>
      </c>
      <c r="B89" s="36" t="n">
        <v>2.2</v>
      </c>
      <c r="C89" s="36" t="n">
        <v>3.9</v>
      </c>
    </row>
    <row r="90" customFormat="false" ht="15" hidden="false" customHeight="false" outlineLevel="0" collapsed="false">
      <c r="A90" s="36" t="s">
        <v>32</v>
      </c>
      <c r="B90" s="36" t="n">
        <v>2.5</v>
      </c>
      <c r="C90" s="36" t="n">
        <v>4</v>
      </c>
    </row>
    <row r="91" customFormat="false" ht="15" hidden="false" customHeight="false" outlineLevel="0" collapsed="false">
      <c r="A91" s="36" t="s">
        <v>34</v>
      </c>
      <c r="B91" s="36" t="n">
        <v>2.6</v>
      </c>
      <c r="C91" s="36" t="n">
        <v>4.2</v>
      </c>
    </row>
    <row r="92" customFormat="false" ht="15" hidden="false" customHeight="false" outlineLevel="0" collapsed="false">
      <c r="A92" s="36" t="s">
        <v>36</v>
      </c>
      <c r="B92" s="36" t="n">
        <v>2.3</v>
      </c>
      <c r="C92" s="36" t="n">
        <v>4</v>
      </c>
    </row>
    <row r="93" customFormat="false" ht="15" hidden="false" customHeight="false" outlineLevel="0" collapsed="false">
      <c r="A93" s="36"/>
      <c r="B93" s="36"/>
      <c r="C93" s="36"/>
    </row>
    <row r="94" customFormat="false" ht="15" hidden="false" customHeight="false" outlineLevel="0" collapsed="false">
      <c r="A94" s="36"/>
      <c r="B94" s="36"/>
      <c r="C94" s="36"/>
    </row>
    <row r="95" customFormat="false" ht="15" hidden="false" customHeight="false" outlineLevel="0" collapsed="false">
      <c r="A95" s="36" t="s">
        <v>3</v>
      </c>
      <c r="B95" s="36" t="s">
        <v>95</v>
      </c>
      <c r="C95" s="36"/>
    </row>
    <row r="96" customFormat="false" ht="15" hidden="false" customHeight="false" outlineLevel="0" collapsed="false">
      <c r="A96" s="36" t="s">
        <v>15</v>
      </c>
      <c r="B96" s="37" t="n">
        <v>0.92</v>
      </c>
      <c r="C96" s="36"/>
    </row>
    <row r="97" customFormat="false" ht="15" hidden="false" customHeight="false" outlineLevel="0" collapsed="false">
      <c r="A97" s="36" t="s">
        <v>19</v>
      </c>
      <c r="B97" s="37" t="n">
        <v>0.85</v>
      </c>
      <c r="C97" s="36"/>
    </row>
    <row r="98" customFormat="false" ht="15" hidden="false" customHeight="false" outlineLevel="0" collapsed="false">
      <c r="A98" s="36" t="s">
        <v>94</v>
      </c>
      <c r="B98" s="37" t="n">
        <v>0.88</v>
      </c>
      <c r="C98" s="36"/>
    </row>
    <row r="99" customFormat="false" ht="15" hidden="false" customHeight="false" outlineLevel="0" collapsed="false">
      <c r="A99" s="36" t="s">
        <v>23</v>
      </c>
      <c r="B99" s="37" t="n">
        <v>0.95</v>
      </c>
      <c r="C99" s="36"/>
    </row>
    <row r="100" customFormat="false" ht="15" hidden="false" customHeight="false" outlineLevel="0" collapsed="false">
      <c r="A100" s="36" t="s">
        <v>25</v>
      </c>
      <c r="B100" s="37" t="n">
        <v>0.62</v>
      </c>
      <c r="C100" s="36"/>
    </row>
    <row r="101" customFormat="false" ht="15" hidden="false" customHeight="false" outlineLevel="0" collapsed="false">
      <c r="A101" s="36" t="s">
        <v>28</v>
      </c>
      <c r="B101" s="37" t="n">
        <v>0.9</v>
      </c>
      <c r="C101" s="36"/>
    </row>
    <row r="102" customFormat="false" ht="15" hidden="false" customHeight="false" outlineLevel="0" collapsed="false">
      <c r="A102" s="36" t="s">
        <v>30</v>
      </c>
      <c r="B102" s="37" t="n">
        <v>0.84</v>
      </c>
      <c r="C102" s="36"/>
    </row>
    <row r="103" customFormat="false" ht="15" hidden="false" customHeight="false" outlineLevel="0" collapsed="false">
      <c r="A103" s="36" t="s">
        <v>32</v>
      </c>
      <c r="B103" s="37" t="n">
        <v>0.86</v>
      </c>
      <c r="C103" s="36"/>
    </row>
    <row r="104" customFormat="false" ht="15" hidden="false" customHeight="false" outlineLevel="0" collapsed="false">
      <c r="A104" s="36" t="s">
        <v>34</v>
      </c>
      <c r="B104" s="37" t="n">
        <v>0.91</v>
      </c>
      <c r="C104" s="36"/>
    </row>
    <row r="105" customFormat="false" ht="15" hidden="false" customHeight="false" outlineLevel="0" collapsed="false">
      <c r="A105" s="36" t="s">
        <v>36</v>
      </c>
      <c r="B105" s="37" t="n">
        <v>0.87</v>
      </c>
      <c r="C105" s="36"/>
    </row>
    <row r="106" customFormat="false" ht="15" hidden="false" customHeight="false" outlineLevel="0" collapsed="false">
      <c r="A106" s="36"/>
      <c r="B106" s="36"/>
      <c r="C106" s="36"/>
    </row>
    <row r="107" customFormat="false" ht="15" hidden="false" customHeight="false" outlineLevel="0" collapsed="false">
      <c r="A107" s="36"/>
      <c r="B107" s="36"/>
      <c r="C107" s="36"/>
    </row>
    <row r="108" customFormat="false" ht="15" hidden="false" customHeight="false" outlineLevel="0" collapsed="false">
      <c r="A108" s="36" t="s">
        <v>96</v>
      </c>
      <c r="B108" s="36" t="s">
        <v>97</v>
      </c>
      <c r="C108" s="36"/>
    </row>
    <row r="109" customFormat="false" ht="15" hidden="false" customHeight="false" outlineLevel="0" collapsed="false">
      <c r="A109" s="36" t="s">
        <v>98</v>
      </c>
      <c r="B109" s="36" t="n">
        <v>14</v>
      </c>
      <c r="C109" s="36"/>
    </row>
    <row r="110" customFormat="false" ht="15" hidden="false" customHeight="false" outlineLevel="0" collapsed="false">
      <c r="A110" s="36" t="s">
        <v>99</v>
      </c>
      <c r="B110" s="36" t="n">
        <v>11</v>
      </c>
      <c r="C110" s="36"/>
    </row>
    <row r="111" customFormat="false" ht="15" hidden="false" customHeight="false" outlineLevel="0" collapsed="false">
      <c r="A111" s="36" t="s">
        <v>100</v>
      </c>
      <c r="B111" s="36" t="n">
        <v>8</v>
      </c>
      <c r="C111" s="36"/>
    </row>
    <row r="112" customFormat="false" ht="15" hidden="false" customHeight="false" outlineLevel="0" collapsed="false">
      <c r="A112" s="36" t="s">
        <v>101</v>
      </c>
      <c r="B112" s="36" t="n">
        <v>6</v>
      </c>
      <c r="C112" s="36"/>
    </row>
    <row r="113" customFormat="false" ht="15" hidden="false" customHeight="false" outlineLevel="0" collapsed="false">
      <c r="A113" s="36" t="s">
        <v>102</v>
      </c>
      <c r="B113" s="36" t="n">
        <v>5</v>
      </c>
      <c r="C113" s="36"/>
    </row>
    <row r="114" customFormat="false" ht="15" hidden="false" customHeight="false" outlineLevel="0" collapsed="false">
      <c r="A114" s="36" t="s">
        <v>103</v>
      </c>
      <c r="B114" s="36" t="n">
        <v>3</v>
      </c>
      <c r="C114" s="36"/>
    </row>
    <row r="115" customFormat="false" ht="15" hidden="false" customHeight="false" outlineLevel="0" collapsed="false">
      <c r="A115" s="36"/>
      <c r="B115" s="36"/>
      <c r="C115" s="36"/>
    </row>
    <row r="116" customFormat="false" ht="15" hidden="false" customHeight="false" outlineLevel="0" collapsed="false">
      <c r="A116" s="36"/>
      <c r="B116" s="36"/>
      <c r="C116" s="36"/>
    </row>
    <row r="117" customFormat="false" ht="15" hidden="false" customHeight="false" outlineLevel="0" collapsed="false">
      <c r="A117" s="36" t="s">
        <v>4</v>
      </c>
      <c r="B117" s="36" t="s">
        <v>9</v>
      </c>
      <c r="C117" s="36"/>
    </row>
    <row r="118" customFormat="false" ht="15" hidden="false" customHeight="false" outlineLevel="0" collapsed="false">
      <c r="A118" s="36" t="s">
        <v>16</v>
      </c>
      <c r="B118" s="37" t="n">
        <v>0.82</v>
      </c>
      <c r="C118" s="36"/>
    </row>
    <row r="119" customFormat="false" ht="15" hidden="false" customHeight="false" outlineLevel="0" collapsed="false">
      <c r="A119" s="36" t="s">
        <v>2</v>
      </c>
      <c r="B119" s="37" t="n">
        <v>0.63</v>
      </c>
      <c r="C119" s="36"/>
    </row>
    <row r="120" customFormat="false" ht="15" hidden="false" customHeight="false" outlineLevel="0" collapsed="false">
      <c r="A120" s="36" t="s">
        <v>104</v>
      </c>
      <c r="B120" s="37" t="n">
        <v>0.74</v>
      </c>
      <c r="C120" s="36"/>
    </row>
    <row r="121" customFormat="false" ht="15" hidden="false" customHeight="false" outlineLevel="0" collapsed="false">
      <c r="A121" s="36" t="s">
        <v>105</v>
      </c>
      <c r="B121" s="37" t="n">
        <v>0.66</v>
      </c>
      <c r="C121" s="36"/>
    </row>
    <row r="122" customFormat="false" ht="15" hidden="false" customHeight="false" outlineLevel="0" collapsed="false">
      <c r="A122" s="36"/>
      <c r="B122" s="36"/>
      <c r="C122" s="36"/>
    </row>
    <row r="123" customFormat="false" ht="15" hidden="false" customHeight="false" outlineLevel="0" collapsed="false">
      <c r="A123" s="36"/>
      <c r="B123" s="36"/>
      <c r="C123" s="36"/>
    </row>
    <row r="124" customFormat="false" ht="15" hidden="false" customHeight="false" outlineLevel="0" collapsed="false">
      <c r="A124" s="36" t="s">
        <v>3</v>
      </c>
      <c r="B124" s="36" t="s">
        <v>11</v>
      </c>
      <c r="C124" s="36"/>
    </row>
    <row r="125" customFormat="false" ht="15" hidden="false" customHeight="false" outlineLevel="0" collapsed="false">
      <c r="A125" s="36" t="s">
        <v>15</v>
      </c>
      <c r="B125" s="37" t="n">
        <v>0.84</v>
      </c>
      <c r="C125" s="36"/>
    </row>
    <row r="126" customFormat="false" ht="15" hidden="false" customHeight="false" outlineLevel="0" collapsed="false">
      <c r="A126" s="36" t="s">
        <v>19</v>
      </c>
      <c r="B126" s="37" t="n">
        <v>0.8</v>
      </c>
      <c r="C126" s="36"/>
    </row>
    <row r="127" customFormat="false" ht="15" hidden="false" customHeight="false" outlineLevel="0" collapsed="false">
      <c r="A127" s="36" t="s">
        <v>94</v>
      </c>
      <c r="B127" s="37" t="n">
        <v>0.83</v>
      </c>
      <c r="C127" s="36"/>
    </row>
    <row r="128" customFormat="false" ht="15" hidden="false" customHeight="false" outlineLevel="0" collapsed="false">
      <c r="A128" s="36" t="s">
        <v>23</v>
      </c>
      <c r="B128" s="37" t="n">
        <v>0.9</v>
      </c>
      <c r="C128" s="36"/>
    </row>
    <row r="129" customFormat="false" ht="15" hidden="false" customHeight="false" outlineLevel="0" collapsed="false">
      <c r="A129" s="36" t="s">
        <v>25</v>
      </c>
      <c r="B129" s="37" t="n">
        <v>0.6</v>
      </c>
      <c r="C129" s="36"/>
    </row>
    <row r="130" customFormat="false" ht="15" hidden="false" customHeight="false" outlineLevel="0" collapsed="false">
      <c r="A130" s="36" t="s">
        <v>28</v>
      </c>
      <c r="B130" s="37" t="n">
        <v>0.85</v>
      </c>
      <c r="C130" s="36"/>
    </row>
    <row r="131" customFormat="false" ht="15" hidden="false" customHeight="false" outlineLevel="0" collapsed="false">
      <c r="A131" s="36" t="s">
        <v>30</v>
      </c>
      <c r="B131" s="37" t="n">
        <v>0.79</v>
      </c>
      <c r="C131" s="36"/>
    </row>
    <row r="132" customFormat="false" ht="15" hidden="false" customHeight="false" outlineLevel="0" collapsed="false">
      <c r="A132" s="36" t="s">
        <v>32</v>
      </c>
      <c r="B132" s="37" t="n">
        <v>0.82</v>
      </c>
      <c r="C132" s="36"/>
    </row>
    <row r="133" customFormat="false" ht="15" hidden="false" customHeight="false" outlineLevel="0" collapsed="false">
      <c r="A133" s="36" t="s">
        <v>34</v>
      </c>
      <c r="B133" s="37" t="n">
        <v>0.86</v>
      </c>
      <c r="C133" s="36"/>
    </row>
    <row r="134" customFormat="false" ht="15" hidden="false" customHeight="false" outlineLevel="0" collapsed="false">
      <c r="A134" s="36" t="s">
        <v>36</v>
      </c>
      <c r="B134" s="37" t="n">
        <v>0.81</v>
      </c>
      <c r="C134" s="36"/>
    </row>
    <row r="135" customFormat="false" ht="15" hidden="false" customHeight="false" outlineLevel="0" collapsed="false">
      <c r="A135" s="36"/>
      <c r="B135" s="36"/>
      <c r="C135" s="36"/>
    </row>
  </sheetData>
  <mergeCells count="28">
    <mergeCell ref="A1:R1"/>
    <mergeCell ref="A2:R2"/>
    <mergeCell ref="A4:F4"/>
    <mergeCell ref="G4:L4"/>
    <mergeCell ref="M4:R4"/>
    <mergeCell ref="A5:F6"/>
    <mergeCell ref="G5:L6"/>
    <mergeCell ref="M5:R6"/>
    <mergeCell ref="A7:F7"/>
    <mergeCell ref="G7:L7"/>
    <mergeCell ref="M7:R7"/>
    <mergeCell ref="A9:F9"/>
    <mergeCell ref="G9:L9"/>
    <mergeCell ref="M9:R9"/>
    <mergeCell ref="A10:F11"/>
    <mergeCell ref="G10:L11"/>
    <mergeCell ref="M10:R11"/>
    <mergeCell ref="A12:F12"/>
    <mergeCell ref="G12:L12"/>
    <mergeCell ref="M12:R12"/>
    <mergeCell ref="A14:R14"/>
    <mergeCell ref="A72:R72"/>
    <mergeCell ref="B73:R73"/>
    <mergeCell ref="B74:R74"/>
    <mergeCell ref="B75:R75"/>
    <mergeCell ref="B76:R76"/>
    <mergeCell ref="B77:R77"/>
    <mergeCell ref="A79:R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2026-05-03T14:17:51Z</dcterms:created>
  <dc:creator>openpyxl</dc:creator>
  <dc:description/>
  <dc:language>en-US</dc:language>
  <cp:lastModifiedBy/>
  <dcterms:modified xsi:type="dcterms:W3CDTF">2026-05-03T14:17:55Z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