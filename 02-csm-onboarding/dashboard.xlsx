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yeletnugrian/Desktop/אבחון קבוצות /"/>
    </mc:Choice>
  </mc:AlternateContent>
  <xr:revisionPtr revIDLastSave="0" documentId="8_{0A1BD1A8-7A66-C647-8995-D44CE900FA3E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Dashboard" sheetId="1" r:id="rId1"/>
    <sheet name="KPI Summary" sheetId="2" r:id="rId2"/>
    <sheet name="Raw Data" sheetId="3" r:id="rId3"/>
    <sheet name="Notes &amp; Methodolog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2" l="1"/>
  <c r="K5" i="1" s="1"/>
  <c r="B15" i="2"/>
  <c r="B14" i="2"/>
  <c r="B13" i="2"/>
  <c r="B12" i="2"/>
  <c r="B11" i="2"/>
  <c r="B10" i="2"/>
  <c r="B9" i="2"/>
  <c r="B8" i="2"/>
  <c r="C5" i="1" s="1"/>
  <c r="B7" i="2"/>
  <c r="B6" i="2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C74" i="1"/>
  <c r="B74" i="1"/>
  <c r="C73" i="1"/>
  <c r="B73" i="1"/>
  <c r="C72" i="1"/>
  <c r="B72" i="1"/>
  <c r="B69" i="1"/>
  <c r="B68" i="1"/>
  <c r="B67" i="1"/>
  <c r="B63" i="1"/>
  <c r="B62" i="1"/>
  <c r="B61" i="1"/>
  <c r="I5" i="1"/>
  <c r="G5" i="1"/>
  <c r="E5" i="1"/>
  <c r="A5" i="1"/>
</calcChain>
</file>

<file path=xl/sharedStrings.xml><?xml version="1.0" encoding="utf-8"?>
<sst xmlns="http://schemas.openxmlformats.org/spreadsheetml/2006/main" count="159" uniqueCount="114">
  <si>
    <t>CS Onboarding Journey Dashboard</t>
  </si>
  <si>
    <t>30 / 60 / 90-day program performance - April 2026 cohort</t>
  </si>
  <si>
    <t>New Hires</t>
  </si>
  <si>
    <t>90-Day Completion</t>
  </si>
  <si>
    <t>Confidence Growth</t>
  </si>
  <si>
    <t>Readiness Score</t>
  </si>
  <si>
    <t>Manager Satisfaction</t>
  </si>
  <si>
    <t>Repeated Qs Reduced</t>
  </si>
  <si>
    <t>Active in program</t>
  </si>
  <si>
    <t>Avg. across cohort</t>
  </si>
  <si>
    <t>Day 30 to Day 90</t>
  </si>
  <si>
    <t>Cohort average</t>
  </si>
  <si>
    <t>Manager-reported</t>
  </si>
  <si>
    <t>Before vs After</t>
  </si>
  <si>
    <t>Recommended Actions</t>
  </si>
  <si>
    <t>1. Add extra product practice for teams below 80% knowledge score.</t>
  </si>
  <si>
    <t>2. Create more customer scenarios for Enterprise CS.</t>
  </si>
  <si>
    <t>3. Add a manager calibration session for readiness scoring.</t>
  </si>
  <si>
    <t>4. Improve knowledge base navigation.</t>
  </si>
  <si>
    <t>5. Review repeated questions monthly.</t>
  </si>
  <si>
    <t>Chart Data (auto-calculated from Raw Data)</t>
  </si>
  <si>
    <t>Phase</t>
  </si>
  <si>
    <t>Completion</t>
  </si>
  <si>
    <t>30-Day</t>
  </si>
  <si>
    <t>60-Day</t>
  </si>
  <si>
    <t>90-Day</t>
  </si>
  <si>
    <t>Confidence</t>
  </si>
  <si>
    <t>Day 30</t>
  </si>
  <si>
    <t>Day 60</t>
  </si>
  <si>
    <t>Day 90</t>
  </si>
  <si>
    <t>Team</t>
  </si>
  <si>
    <t>Knowledge</t>
  </si>
  <si>
    <t>Readiness</t>
  </si>
  <si>
    <t>CS SMB</t>
  </si>
  <si>
    <t>CS Enterprise</t>
  </si>
  <si>
    <t>CS Mid-Market</t>
  </si>
  <si>
    <t>Employee</t>
  </si>
  <si>
    <t>Scenarios %</t>
  </si>
  <si>
    <t>Before</t>
  </si>
  <si>
    <t>After</t>
  </si>
  <si>
    <t>New Hire 1</t>
  </si>
  <si>
    <t>New Hire 2</t>
  </si>
  <si>
    <t>New Hire 3</t>
  </si>
  <si>
    <t>New Hire 4</t>
  </si>
  <si>
    <t>New Hire 5</t>
  </si>
  <si>
    <t>New Hire 6</t>
  </si>
  <si>
    <t>New Hire 7</t>
  </si>
  <si>
    <t>New Hire 8</t>
  </si>
  <si>
    <t>Aggregate measures - calculated from Raw Data</t>
  </si>
  <si>
    <t>KPI</t>
  </si>
  <si>
    <t>Result</t>
  </si>
  <si>
    <t>New Hires in Program</t>
  </si>
  <si>
    <t>30-Day Completion Average</t>
  </si>
  <si>
    <t>60-Day Completion Average</t>
  </si>
  <si>
    <t>90-Day Completion Average</t>
  </si>
  <si>
    <t>Average Confidence at Day 30</t>
  </si>
  <si>
    <t>Average Confidence at Day 90</t>
  </si>
  <si>
    <t>Average Knowledge Score</t>
  </si>
  <si>
    <t>Average Readiness Score</t>
  </si>
  <si>
    <t>Shadowing Completion</t>
  </si>
  <si>
    <t>Scenario Practice Completion</t>
  </si>
  <si>
    <t>Reduction in Repeated Questions</t>
  </si>
  <si>
    <t>Raw Data</t>
  </si>
  <si>
    <t>Source data for CS Onboarding Journey Dashboard</t>
  </si>
  <si>
    <t>A. Core Progress</t>
  </si>
  <si>
    <t>Manager</t>
  </si>
  <si>
    <t>Start</t>
  </si>
  <si>
    <t>Conf 30</t>
  </si>
  <si>
    <t>Conf 60</t>
  </si>
  <si>
    <t>Conf 90</t>
  </si>
  <si>
    <t>Manager A</t>
  </si>
  <si>
    <t>01.04</t>
  </si>
  <si>
    <t>Manager B</t>
  </si>
  <si>
    <t>03.04</t>
  </si>
  <si>
    <t>Manager C</t>
  </si>
  <si>
    <t>07.04</t>
  </si>
  <si>
    <t>Manager D</t>
  </si>
  <si>
    <t>10.04</t>
  </si>
  <si>
    <t>12.04</t>
  </si>
  <si>
    <t>15.04</t>
  </si>
  <si>
    <t>18.04</t>
  </si>
  <si>
    <t>Manager E</t>
  </si>
  <si>
    <t>20.04</t>
  </si>
  <si>
    <t>B. Readiness Metrics</t>
  </si>
  <si>
    <t>Satisfaction</t>
  </si>
  <si>
    <t>Shadowing</t>
  </si>
  <si>
    <t>Scenario</t>
  </si>
  <si>
    <t>Questions Before</t>
  </si>
  <si>
    <t>Questions After</t>
  </si>
  <si>
    <t>Notes &amp; Methodology</t>
  </si>
  <si>
    <t>How each KPI on this dashboard is calculated</t>
  </si>
  <si>
    <t>KPI / Item</t>
  </si>
  <si>
    <t>Source &amp; Formula</t>
  </si>
  <si>
    <t>Hardcoded headcount value (24). Update manually as cohort changes.</t>
  </si>
  <si>
    <t>30 / 60 / 90-Day Completion Average</t>
  </si>
  <si>
    <t>AVERAGE of Raw Data column 30-Day / 60-Day / 90-Day across all employees.</t>
  </si>
  <si>
    <t>Average Confidence (Day 30 / 90)</t>
  </si>
  <si>
    <t>AVERAGE of Conf 30 / Conf 90 columns. Scale: 1-5.</t>
  </si>
  <si>
    <t>AVERAGE of Raw Data B (Knowledge) column. % correct on knowledge checks.</t>
  </si>
  <si>
    <t>AVERAGE of Readiness column. Manager-rated 1-5.</t>
  </si>
  <si>
    <t>AVERAGE of Satisfaction column - manager-reported on 1-5 scale.</t>
  </si>
  <si>
    <t>AVERAGE of Shadowing sessions completed / 5 (target).</t>
  </si>
  <si>
    <t>AVERAGE of Scenarios completed / 4 (target).</t>
  </si>
  <si>
    <t>(SUM Before - SUM After) / SUM Before, across all employees.</t>
  </si>
  <si>
    <t>Knowledge / Readiness by Team</t>
  </si>
  <si>
    <t>AVERAGEIF on team. Teams: CS SMB, CS Enterprise, CS Mid-Market.</t>
  </si>
  <si>
    <t>Confidence Growth (chart)</t>
  </si>
  <si>
    <t>Cohort average of Conf 30 / Conf 60 / Conf 90.</t>
  </si>
  <si>
    <t>Conditional formatting (Raw Data)</t>
  </si>
  <si>
    <t>Light-to-dark gray scale by metric. For 'Questions Before' more=darker; for 'Questions After' fewer=darker (improvement = darker).</t>
  </si>
  <si>
    <t>Data refresh</t>
  </si>
  <si>
    <t>Update Raw Data tables A and B; KPI Summary and Dashboard recalculate automatically.</t>
  </si>
  <si>
    <t>Source</t>
  </si>
  <si>
    <t>Internal: CS Onboarding tracker, manager scorecards, knowledge base analytics.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</si>
</sst>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/5&quot;"/>
    <numFmt numFmtId="165" formatCode="0.0"/>
    <numFmt numFmtId="166" formatCode="0.0%"/>
  </numFmts>
  <fonts count="16" x14ac:knownFonts="1">
    <font>
      <sz val="11"/>
      <color theme="1"/>
      <name val="Calibri"/>
      <family val="2"/>
      <charset val="1"/>
    </font>
    <font>
      <b/>
      <sz val="20"/>
      <color rgb="FF1A1A1A"/>
      <name val="Arial"/>
      <family val="2"/>
    </font>
    <font>
      <sz val="10"/>
      <color rgb="FF6B6B6B"/>
      <name val="Arial"/>
      <family val="2"/>
    </font>
    <font>
      <b/>
      <sz val="9"/>
      <color rgb="FF6B6B6B"/>
      <name val="Arial"/>
      <family val="2"/>
    </font>
    <font>
      <b/>
      <sz val="22"/>
      <color rgb="FF1A1A1A"/>
      <name val="Arial"/>
      <family val="2"/>
    </font>
    <font>
      <i/>
      <sz val="9"/>
      <color rgb="FF6B6B6B"/>
      <name val="Arial"/>
      <family val="2"/>
    </font>
    <font>
      <b/>
      <sz val="14"/>
      <color rgb="FF1A1A1A"/>
      <name val="Arial"/>
      <family val="2"/>
    </font>
    <font>
      <sz val="10"/>
      <color rgb="FF1A1A1A"/>
      <name val="Arial"/>
      <family val="2"/>
    </font>
    <font>
      <b/>
      <sz val="10"/>
      <name val="Arial"/>
      <family val="2"/>
    </font>
    <font>
      <b/>
      <sz val="16"/>
      <color rgb="FF1A1A1A"/>
      <name val="Arial"/>
      <family val="2"/>
    </font>
    <font>
      <b/>
      <sz val="14"/>
      <color rgb="FFFFFFFF"/>
      <name val="Arial"/>
      <family val="2"/>
    </font>
    <font>
      <b/>
      <sz val="14"/>
      <color rgb="FFFFFFFF"/>
      <name val="Calibri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AFAFA"/>
        <bgColor rgb="FFF2F2F2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/>
      <bottom style="thin">
        <color rgb="FFE5E5E5"/>
      </bottom>
      <diagonal/>
    </border>
    <border>
      <left/>
      <right/>
      <top/>
      <bottom style="thin">
        <color rgb="FF305496"/>
      </bottom>
      <diagonal/>
    </border>
    <border>
      <left/>
      <right/>
      <top style="thin">
        <color rgb="FF305496"/>
      </top>
      <bottom style="thin">
        <color rgb="FF30549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/>
    <xf numFmtId="0" fontId="8" fillId="0" borderId="0" xfId="0" applyFont="1"/>
    <xf numFmtId="9" fontId="0" fillId="0" borderId="0" xfId="0" applyNumberFormat="1"/>
    <xf numFmtId="165" fontId="0" fillId="0" borderId="0" xfId="0" applyNumberFormat="1"/>
    <xf numFmtId="0" fontId="9" fillId="0" borderId="0" xfId="0" applyFont="1"/>
    <xf numFmtId="0" fontId="2" fillId="0" borderId="0" xfId="0" applyFont="1"/>
    <xf numFmtId="0" fontId="7" fillId="0" borderId="2" xfId="0" applyFont="1" applyBorder="1" applyAlignment="1">
      <alignment horizontal="left" vertical="center" indent="1"/>
    </xf>
    <xf numFmtId="0" fontId="6" fillId="0" borderId="0" xfId="0" applyFont="1"/>
    <xf numFmtId="9" fontId="4" fillId="2" borderId="1" xfId="0" applyNumberFormat="1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1" fontId="4" fillId="2" borderId="1" xfId="0" applyNumberFormat="1" applyFont="1" applyFill="1" applyBorder="1" applyAlignment="1">
      <alignment horizontal="left" vertical="center" indent="1"/>
    </xf>
    <xf numFmtId="49" fontId="4" fillId="2" borderId="1" xfId="0" applyNumberFormat="1" applyFont="1" applyFill="1" applyBorder="1" applyAlignment="1">
      <alignment horizontal="left" vertical="center" indent="1"/>
    </xf>
    <xf numFmtId="164" fontId="4" fillId="2" borderId="1" xfId="0" applyNumberFormat="1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indent="1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1" fontId="13" fillId="5" borderId="2" xfId="0" applyNumberFormat="1" applyFont="1" applyFill="1" applyBorder="1" applyAlignment="1">
      <alignment horizontal="right" vertical="center"/>
    </xf>
    <xf numFmtId="9" fontId="13" fillId="5" borderId="2" xfId="0" applyNumberFormat="1" applyFont="1" applyFill="1" applyBorder="1" applyAlignment="1">
      <alignment horizontal="right" vertical="center"/>
    </xf>
    <xf numFmtId="164" fontId="13" fillId="5" borderId="2" xfId="0" applyNumberFormat="1" applyFont="1" applyFill="1" applyBorder="1" applyAlignment="1">
      <alignment horizontal="right" vertical="center"/>
    </xf>
    <xf numFmtId="0" fontId="14" fillId="4" borderId="0" xfId="0" applyFont="1" applyFill="1" applyBorder="1"/>
    <xf numFmtId="0" fontId="15" fillId="4" borderId="0" xfId="0" applyFont="1" applyFill="1" applyBorder="1"/>
    <xf numFmtId="0" fontId="12" fillId="4" borderId="4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165" fontId="13" fillId="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66" fontId="13" fillId="5" borderId="0" xfId="0" applyNumberFormat="1" applyFont="1" applyFill="1" applyAlignment="1">
      <alignment horizontal="center" vertical="center"/>
    </xf>
    <xf numFmtId="0" fontId="13" fillId="5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30 / 60 / 90 Completion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Dashboard!$B$60</c:f>
              <c:strCache>
                <c:ptCount val="1"/>
                <c:pt idx="0">
                  <c:v>Completion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Dashboard!$A$61:$A$63</c:f>
              <c:strCache>
                <c:ptCount val="3"/>
                <c:pt idx="0">
                  <c:v>30-Day</c:v>
                </c:pt>
                <c:pt idx="1">
                  <c:v>60-Day</c:v>
                </c:pt>
                <c:pt idx="2">
                  <c:v>90-Day</c:v>
                </c:pt>
              </c:strCache>
            </c:strRef>
          </c:cat>
          <c:val>
            <c:numRef>
              <c:f>Dashboard!$B$61:$B$63</c:f>
              <c:numCache>
                <c:formatCode>0%</c:formatCode>
                <c:ptCount val="3"/>
                <c:pt idx="0">
                  <c:v>0.87375000000000003</c:v>
                </c:pt>
                <c:pt idx="1">
                  <c:v>0.80999999999999994</c:v>
                </c:pt>
                <c:pt idx="2">
                  <c:v>0.87250000000000005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4-9940-A170-0C9807827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88316"/>
        <c:axId val="82680712"/>
      </c:barChart>
      <c:catAx>
        <c:axId val="789883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82680712"/>
        <c:crosses val="autoZero"/>
        <c:auto val="1"/>
        <c:lblAlgn val="ctr"/>
        <c:lblOffset val="100"/>
        <c:noMultiLvlLbl val="0"/>
      </c:catAx>
      <c:valAx>
        <c:axId val="8268071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789883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Confidence Growth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Dashboard!$B$66</c:f>
              <c:strCache>
                <c:ptCount val="1"/>
                <c:pt idx="0">
                  <c:v>Confidence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Dashboard!$A$67:$A$69</c:f>
              <c:strCache>
                <c:ptCount val="3"/>
                <c:pt idx="0">
                  <c:v>Day 30</c:v>
                </c:pt>
                <c:pt idx="1">
                  <c:v>Day 60</c:v>
                </c:pt>
                <c:pt idx="2">
                  <c:v>Day 90</c:v>
                </c:pt>
              </c:strCache>
            </c:strRef>
          </c:cat>
          <c:val>
            <c:numRef>
              <c:f>Dashboard!$B$67:$B$69</c:f>
              <c:numCache>
                <c:formatCode>0.0</c:formatCode>
                <c:ptCount val="3"/>
                <c:pt idx="0">
                  <c:v>3.05</c:v>
                </c:pt>
                <c:pt idx="1">
                  <c:v>3.875</c:v>
                </c:pt>
                <c:pt idx="2">
                  <c:v>4.2749999999999995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99-8F46-AB3D-876A5B3C6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211173"/>
        <c:axId val="72689092"/>
      </c:lineChart>
      <c:catAx>
        <c:axId val="16211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72689092"/>
        <c:crosses val="autoZero"/>
        <c:auto val="1"/>
        <c:lblAlgn val="ctr"/>
        <c:lblOffset val="100"/>
        <c:noMultiLvlLbl val="0"/>
      </c:catAx>
      <c:valAx>
        <c:axId val="72689092"/>
        <c:scaling>
          <c:orientation val="minMax"/>
          <c:max val="5"/>
          <c:min val="0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162111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Knowledge &amp; Readiness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Dashboard!$B$71</c:f>
              <c:strCache>
                <c:ptCount val="1"/>
                <c:pt idx="0">
                  <c:v>Knowledge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Dashboard!$A$72:$A$74</c:f>
              <c:strCache>
                <c:ptCount val="3"/>
                <c:pt idx="0">
                  <c:v>CS SMB</c:v>
                </c:pt>
                <c:pt idx="1">
                  <c:v>CS Enterprise</c:v>
                </c:pt>
                <c:pt idx="2">
                  <c:v>CS Mid-Market</c:v>
                </c:pt>
              </c:strCache>
            </c:strRef>
          </c:cat>
          <c:val>
            <c:numRef>
              <c:f>Dashboard!$B$72:$B$74</c:f>
              <c:numCache>
                <c:formatCode>0%</c:formatCode>
                <c:ptCount val="3"/>
                <c:pt idx="0">
                  <c:v>0.88666666666666671</c:v>
                </c:pt>
                <c:pt idx="1">
                  <c:v>0.85333333333333339</c:v>
                </c:pt>
                <c:pt idx="2">
                  <c:v>0.79500000000000004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6-7A43-A532-072F4DC2908E}"/>
            </c:ext>
          </c:extLst>
        </c:ser>
        <c:ser>
          <c:idx val="1"/>
          <c:order val="1"/>
          <c:tx>
            <c:strRef>
              <c:f>Dashboard!$C$71</c:f>
              <c:strCache>
                <c:ptCount val="1"/>
                <c:pt idx="0">
                  <c:v>Readiness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Dashboard!$A$72:$A$74</c:f>
              <c:strCache>
                <c:ptCount val="3"/>
                <c:pt idx="0">
                  <c:v>CS SMB</c:v>
                </c:pt>
                <c:pt idx="1">
                  <c:v>CS Enterprise</c:v>
                </c:pt>
                <c:pt idx="2">
                  <c:v>CS Mid-Market</c:v>
                </c:pt>
              </c:strCache>
            </c:strRef>
          </c:cat>
          <c:val>
            <c:numRef>
              <c:f>Dashboard!$C$72:$C$74</c:f>
              <c:numCache>
                <c:formatCode>0.0</c:formatCode>
                <c:ptCount val="3"/>
                <c:pt idx="0">
                  <c:v>4.333333333333333</c:v>
                </c:pt>
                <c:pt idx="1">
                  <c:v>4.166666666666667</c:v>
                </c:pt>
                <c:pt idx="2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6-7A43-A532-072F4DC29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100395"/>
        <c:axId val="46901200"/>
      </c:barChart>
      <c:catAx>
        <c:axId val="281003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46901200"/>
        <c:crosses val="autoZero"/>
        <c:auto val="1"/>
        <c:lblAlgn val="ctr"/>
        <c:lblOffset val="100"/>
        <c:noMultiLvlLbl val="0"/>
      </c:catAx>
      <c:valAx>
        <c:axId val="469012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281003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I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Scenario Practice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Dashboard!$B$76</c:f>
              <c:strCache>
                <c:ptCount val="1"/>
                <c:pt idx="0">
                  <c:v>Scenarios 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Dashboard!$A$77:$A$84</c:f>
              <c:strCache>
                <c:ptCount val="8"/>
                <c:pt idx="0">
                  <c:v>New Hire 1</c:v>
                </c:pt>
                <c:pt idx="1">
                  <c:v>New Hire 2</c:v>
                </c:pt>
                <c:pt idx="2">
                  <c:v>New Hire 3</c:v>
                </c:pt>
                <c:pt idx="3">
                  <c:v>New Hire 4</c:v>
                </c:pt>
                <c:pt idx="4">
                  <c:v>New Hire 5</c:v>
                </c:pt>
                <c:pt idx="5">
                  <c:v>New Hire 6</c:v>
                </c:pt>
                <c:pt idx="6">
                  <c:v>New Hire 7</c:v>
                </c:pt>
                <c:pt idx="7">
                  <c:v>New Hire 8</c:v>
                </c:pt>
              </c:strCache>
            </c:strRef>
          </c:cat>
          <c:val>
            <c:numRef>
              <c:f>Dashboard!$B$77:$B$84</c:f>
              <c:numCache>
                <c:formatCode>0%</c:formatCode>
                <c:ptCount val="8"/>
                <c:pt idx="0">
                  <c:v>1</c:v>
                </c:pt>
                <c:pt idx="1">
                  <c:v>0.75</c:v>
                </c:pt>
                <c:pt idx="2">
                  <c:v>1</c:v>
                </c:pt>
                <c:pt idx="3">
                  <c:v>0.75</c:v>
                </c:pt>
                <c:pt idx="4">
                  <c:v>1</c:v>
                </c:pt>
                <c:pt idx="5">
                  <c:v>1</c:v>
                </c:pt>
                <c:pt idx="6">
                  <c:v>0.75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D-EE43-9CB3-B41C2E7EB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593294"/>
        <c:axId val="38331663"/>
      </c:barChart>
      <c:catAx>
        <c:axId val="7559329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38331663"/>
        <c:crosses val="autoZero"/>
        <c:auto val="1"/>
        <c:lblAlgn val="ctr"/>
        <c:lblOffset val="100"/>
        <c:noMultiLvlLbl val="0"/>
      </c:catAx>
      <c:valAx>
        <c:axId val="383316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755932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Repeated Questions: Before vs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Dashboard!$B$86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Dashboard!$A$87:$A$94</c:f>
              <c:strCache>
                <c:ptCount val="8"/>
                <c:pt idx="0">
                  <c:v>New Hire 1</c:v>
                </c:pt>
                <c:pt idx="1">
                  <c:v>New Hire 2</c:v>
                </c:pt>
                <c:pt idx="2">
                  <c:v>New Hire 3</c:v>
                </c:pt>
                <c:pt idx="3">
                  <c:v>New Hire 4</c:v>
                </c:pt>
                <c:pt idx="4">
                  <c:v>New Hire 5</c:v>
                </c:pt>
                <c:pt idx="5">
                  <c:v>New Hire 6</c:v>
                </c:pt>
                <c:pt idx="6">
                  <c:v>New Hire 7</c:v>
                </c:pt>
                <c:pt idx="7">
                  <c:v>New Hire 8</c:v>
                </c:pt>
              </c:strCache>
            </c:strRef>
          </c:cat>
          <c:val>
            <c:numRef>
              <c:f>Dashboard!$B$87:$B$94</c:f>
              <c:numCache>
                <c:formatCode>General</c:formatCode>
                <c:ptCount val="8"/>
                <c:pt idx="0">
                  <c:v>18</c:v>
                </c:pt>
                <c:pt idx="1">
                  <c:v>22</c:v>
                </c:pt>
                <c:pt idx="2">
                  <c:v>16</c:v>
                </c:pt>
                <c:pt idx="3">
                  <c:v>25</c:v>
                </c:pt>
                <c:pt idx="4">
                  <c:v>20</c:v>
                </c:pt>
                <c:pt idx="5">
                  <c:v>17</c:v>
                </c:pt>
                <c:pt idx="6">
                  <c:v>23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1-004B-B5B5-95B401D5C2E6}"/>
            </c:ext>
          </c:extLst>
        </c:ser>
        <c:ser>
          <c:idx val="1"/>
          <c:order val="1"/>
          <c:tx>
            <c:strRef>
              <c:f>Dashboard!$C$86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Dashboard!$A$87:$A$94</c:f>
              <c:strCache>
                <c:ptCount val="8"/>
                <c:pt idx="0">
                  <c:v>New Hire 1</c:v>
                </c:pt>
                <c:pt idx="1">
                  <c:v>New Hire 2</c:v>
                </c:pt>
                <c:pt idx="2">
                  <c:v>New Hire 3</c:v>
                </c:pt>
                <c:pt idx="3">
                  <c:v>New Hire 4</c:v>
                </c:pt>
                <c:pt idx="4">
                  <c:v>New Hire 5</c:v>
                </c:pt>
                <c:pt idx="5">
                  <c:v>New Hire 6</c:v>
                </c:pt>
                <c:pt idx="6">
                  <c:v>New Hire 7</c:v>
                </c:pt>
                <c:pt idx="7">
                  <c:v>New Hire 8</c:v>
                </c:pt>
              </c:strCache>
            </c:strRef>
          </c:cat>
          <c:val>
            <c:numRef>
              <c:f>Dashboard!$C$87:$C$94</c:f>
              <c:numCache>
                <c:formatCode>General</c:formatCode>
                <c:ptCount val="8"/>
                <c:pt idx="0">
                  <c:v>11</c:v>
                </c:pt>
                <c:pt idx="1">
                  <c:v>15</c:v>
                </c:pt>
                <c:pt idx="2">
                  <c:v>9</c:v>
                </c:pt>
                <c:pt idx="3">
                  <c:v>18</c:v>
                </c:pt>
                <c:pt idx="4">
                  <c:v>13</c:v>
                </c:pt>
                <c:pt idx="5">
                  <c:v>10</c:v>
                </c:pt>
                <c:pt idx="6">
                  <c:v>16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81-004B-B5B5-95B401D5C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93769"/>
        <c:axId val="38207897"/>
      </c:barChart>
      <c:catAx>
        <c:axId val="11493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38207897"/>
        <c:crosses val="autoZero"/>
        <c:auto val="1"/>
        <c:lblAlgn val="ctr"/>
        <c:lblOffset val="100"/>
        <c:noMultiLvlLbl val="0"/>
      </c:catAx>
      <c:valAx>
        <c:axId val="382078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114937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I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Knowledge Score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Dashboard!$B$71</c:f>
              <c:strCache>
                <c:ptCount val="1"/>
                <c:pt idx="0">
                  <c:v>Knowledge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Dashboard!$A$72:$A$74</c:f>
              <c:strCache>
                <c:ptCount val="3"/>
                <c:pt idx="0">
                  <c:v>CS SMB</c:v>
                </c:pt>
                <c:pt idx="1">
                  <c:v>CS Enterprise</c:v>
                </c:pt>
                <c:pt idx="2">
                  <c:v>CS Mid-Market</c:v>
                </c:pt>
              </c:strCache>
            </c:strRef>
          </c:cat>
          <c:val>
            <c:numRef>
              <c:f>Dashboard!$B$72:$B$74</c:f>
              <c:numCache>
                <c:formatCode>0%</c:formatCode>
                <c:ptCount val="3"/>
                <c:pt idx="0">
                  <c:v>0.88666666666666671</c:v>
                </c:pt>
                <c:pt idx="1">
                  <c:v>0.85333333333333339</c:v>
                </c:pt>
                <c:pt idx="2">
                  <c:v>0.79500000000000004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B-B048-AF6E-4D4385F93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669055"/>
        <c:axId val="21385078"/>
      </c:barChart>
      <c:catAx>
        <c:axId val="8866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21385078"/>
        <c:crosses val="autoZero"/>
        <c:auto val="1"/>
        <c:lblAlgn val="ctr"/>
        <c:lblOffset val="100"/>
        <c:noMultiLvlLbl val="0"/>
      </c:catAx>
      <c:valAx>
        <c:axId val="2138507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L"/>
          </a:p>
        </c:txPr>
        <c:crossAx val="886690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</xdr:col>
      <xdr:colOff>865920</xdr:colOff>
      <xdr:row>22</xdr:row>
      <xdr:rowOff>32400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0</xdr:rowOff>
    </xdr:from>
    <xdr:to>
      <xdr:col>10</xdr:col>
      <xdr:colOff>383320</xdr:colOff>
      <xdr:row>22</xdr:row>
      <xdr:rowOff>32400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8</xdr:row>
      <xdr:rowOff>0</xdr:rowOff>
    </xdr:from>
    <xdr:to>
      <xdr:col>16</xdr:col>
      <xdr:colOff>191520</xdr:colOff>
      <xdr:row>22</xdr:row>
      <xdr:rowOff>32400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5</xdr:col>
      <xdr:colOff>865920</xdr:colOff>
      <xdr:row>39</xdr:row>
      <xdr:rowOff>32400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25</xdr:row>
      <xdr:rowOff>0</xdr:rowOff>
    </xdr:from>
    <xdr:to>
      <xdr:col>10</xdr:col>
      <xdr:colOff>383320</xdr:colOff>
      <xdr:row>39</xdr:row>
      <xdr:rowOff>32400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25</xdr:row>
      <xdr:rowOff>0</xdr:rowOff>
    </xdr:from>
    <xdr:to>
      <xdr:col>16</xdr:col>
      <xdr:colOff>191520</xdr:colOff>
      <xdr:row>39</xdr:row>
      <xdr:rowOff>32400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D3199C-9EFF-B549-AC73-E33667577D28}">
  <we:reference id="WA200005502" version="1.0.0.13" store="Omex" storeType="OMEX"/>
  <we:alternateReferences>
    <we:reference id="WA200005502" version="1.0.0.13" store="WA200005502" storeType="OMEX"/>
  </we:alternateReferences>
  <we:properties>
    <we:property name="docId" value="&quot;c3dvIMLIEARZE6jHTUH0p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showGridLines="0" tabSelected="1" zoomScaleNormal="100" workbookViewId="0">
      <selection activeCell="N5" sqref="N5"/>
    </sheetView>
  </sheetViews>
  <sheetFormatPr baseColWidth="10" defaultColWidth="8.6640625" defaultRowHeight="15" x14ac:dyDescent="0.2"/>
  <cols>
    <col min="1" max="5" width="11" customWidth="1"/>
    <col min="6" max="6" width="17.33203125" customWidth="1"/>
    <col min="7" max="15" width="11" customWidth="1"/>
  </cols>
  <sheetData>
    <row r="1" spans="1:14" ht="31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4" spans="1:14" ht="18" customHeight="1" x14ac:dyDescent="0.2">
      <c r="A4" s="16" t="s">
        <v>2</v>
      </c>
      <c r="B4" s="16"/>
      <c r="C4" s="16" t="s">
        <v>3</v>
      </c>
      <c r="D4" s="16"/>
      <c r="E4" s="16" t="s">
        <v>4</v>
      </c>
      <c r="F4" s="16"/>
      <c r="G4" s="16" t="s">
        <v>5</v>
      </c>
      <c r="H4" s="16"/>
      <c r="I4" s="16" t="s">
        <v>6</v>
      </c>
      <c r="J4" s="16"/>
      <c r="K4" s="16" t="s">
        <v>7</v>
      </c>
      <c r="L4" s="16"/>
    </row>
    <row r="5" spans="1:14" ht="36" customHeight="1" x14ac:dyDescent="0.2">
      <c r="A5" s="11">
        <f>24</f>
        <v>24</v>
      </c>
      <c r="B5" s="11"/>
      <c r="C5" s="9">
        <f>'KPI Summary'!B8</f>
        <v>0.87250000000000005</v>
      </c>
      <c r="D5" s="9"/>
      <c r="E5" s="12" t="str">
        <f>'KPI Summary'!B9 &amp; " → " &amp; 'KPI Summary'!B10</f>
        <v>3.05 → 4.275</v>
      </c>
      <c r="F5" s="12"/>
      <c r="G5" s="13">
        <f>'KPI Summary'!B12</f>
        <v>4.1375000000000002</v>
      </c>
      <c r="H5" s="13"/>
      <c r="I5" s="13">
        <f>'KPI Summary'!B13</f>
        <v>4.3500000000000005</v>
      </c>
      <c r="J5" s="13"/>
      <c r="K5" s="9">
        <f>'KPI Summary'!B16</f>
        <v>0.35256410256410259</v>
      </c>
      <c r="L5" s="9"/>
    </row>
    <row r="6" spans="1:14" ht="18" customHeight="1" x14ac:dyDescent="0.2">
      <c r="A6" s="10" t="s">
        <v>8</v>
      </c>
      <c r="B6" s="10"/>
      <c r="C6" s="10" t="s">
        <v>9</v>
      </c>
      <c r="D6" s="10"/>
      <c r="E6" s="10" t="s">
        <v>10</v>
      </c>
      <c r="F6" s="10"/>
      <c r="G6" s="10" t="s">
        <v>11</v>
      </c>
      <c r="H6" s="10"/>
      <c r="I6" s="10" t="s">
        <v>12</v>
      </c>
      <c r="J6" s="10"/>
      <c r="K6" s="10" t="s">
        <v>13</v>
      </c>
      <c r="L6" s="10"/>
    </row>
    <row r="7" spans="1:14" ht="7.5" customHeight="1" x14ac:dyDescent="0.2"/>
    <row r="43" spans="1:14" ht="18" x14ac:dyDescent="0.2">
      <c r="A43" s="8" t="s">
        <v>14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x14ac:dyDescent="0.2">
      <c r="A44" s="7" t="s">
        <v>15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x14ac:dyDescent="0.2">
      <c r="A45" s="7" t="s">
        <v>16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 x14ac:dyDescent="0.2">
      <c r="A46" s="7" t="s">
        <v>17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x14ac:dyDescent="0.2">
      <c r="A47" s="7" t="s">
        <v>18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x14ac:dyDescent="0.2">
      <c r="A48" s="7" t="s">
        <v>19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59" spans="1:2" x14ac:dyDescent="0.2">
      <c r="A59" s="1" t="s">
        <v>20</v>
      </c>
    </row>
    <row r="60" spans="1:2" x14ac:dyDescent="0.2">
      <c r="A60" s="2" t="s">
        <v>21</v>
      </c>
      <c r="B60" s="2" t="s">
        <v>22</v>
      </c>
    </row>
    <row r="61" spans="1:2" x14ac:dyDescent="0.2">
      <c r="A61" t="s">
        <v>23</v>
      </c>
      <c r="B61" s="3">
        <f>AVERAGE('Raw Data'!E6:E13)</f>
        <v>0.87375000000000003</v>
      </c>
    </row>
    <row r="62" spans="1:2" x14ac:dyDescent="0.2">
      <c r="A62" t="s">
        <v>24</v>
      </c>
      <c r="B62" s="3">
        <f>AVERAGE('Raw Data'!F6:F13)</f>
        <v>0.80999999999999994</v>
      </c>
    </row>
    <row r="63" spans="1:2" x14ac:dyDescent="0.2">
      <c r="A63" t="s">
        <v>25</v>
      </c>
      <c r="B63" s="3">
        <f>AVERAGE('Raw Data'!G6:G13)</f>
        <v>0.87250000000000005</v>
      </c>
    </row>
    <row r="66" spans="1:3" x14ac:dyDescent="0.2">
      <c r="A66" s="2" t="s">
        <v>21</v>
      </c>
      <c r="B66" s="2" t="s">
        <v>26</v>
      </c>
    </row>
    <row r="67" spans="1:3" x14ac:dyDescent="0.2">
      <c r="A67" t="s">
        <v>27</v>
      </c>
      <c r="B67" s="4">
        <f>AVERAGE('Raw Data'!H6:H13)</f>
        <v>3.05</v>
      </c>
    </row>
    <row r="68" spans="1:3" x14ac:dyDescent="0.2">
      <c r="A68" t="s">
        <v>28</v>
      </c>
      <c r="B68" s="4">
        <f>AVERAGE('Raw Data'!I6:I13)</f>
        <v>3.875</v>
      </c>
    </row>
    <row r="69" spans="1:3" x14ac:dyDescent="0.2">
      <c r="A69" t="s">
        <v>29</v>
      </c>
      <c r="B69" s="4">
        <f>AVERAGE('Raw Data'!J6:J13)</f>
        <v>4.2749999999999995</v>
      </c>
    </row>
    <row r="71" spans="1:3" x14ac:dyDescent="0.2">
      <c r="A71" s="2" t="s">
        <v>30</v>
      </c>
      <c r="B71" s="2" t="s">
        <v>31</v>
      </c>
      <c r="C71" s="2" t="s">
        <v>32</v>
      </c>
    </row>
    <row r="72" spans="1:3" x14ac:dyDescent="0.2">
      <c r="A72" t="s">
        <v>33</v>
      </c>
      <c r="B72" s="3">
        <f>AVERAGEIF('Raw Data'!B6:B13,"CS SMB",'Raw Data'!B18:B25)</f>
        <v>0.88666666666666671</v>
      </c>
      <c r="C72" s="4">
        <f>AVERAGEIF('Raw Data'!B6:B13,"CS SMB",'Raw Data'!C18:C25)</f>
        <v>4.333333333333333</v>
      </c>
    </row>
    <row r="73" spans="1:3" x14ac:dyDescent="0.2">
      <c r="A73" t="s">
        <v>34</v>
      </c>
      <c r="B73" s="3">
        <f>AVERAGEIF('Raw Data'!B6:B13,"CS Enterprise",'Raw Data'!B18:B25)</f>
        <v>0.85333333333333339</v>
      </c>
      <c r="C73" s="4">
        <f>AVERAGEIF('Raw Data'!B6:B13,"CS Enterprise",'Raw Data'!C18:C25)</f>
        <v>4.166666666666667</v>
      </c>
    </row>
    <row r="74" spans="1:3" x14ac:dyDescent="0.2">
      <c r="A74" t="s">
        <v>35</v>
      </c>
      <c r="B74" s="3">
        <f>AVERAGEIF('Raw Data'!B6:B13,"CS Mid-Market",'Raw Data'!B18:B25)</f>
        <v>0.79500000000000004</v>
      </c>
      <c r="C74" s="4">
        <f>AVERAGEIF('Raw Data'!B6:B13,"CS Mid-Market",'Raw Data'!C18:C25)</f>
        <v>3.8</v>
      </c>
    </row>
    <row r="76" spans="1:3" x14ac:dyDescent="0.2">
      <c r="A76" s="2" t="s">
        <v>36</v>
      </c>
      <c r="B76" s="2" t="s">
        <v>37</v>
      </c>
    </row>
    <row r="77" spans="1:3" x14ac:dyDescent="0.2">
      <c r="A77" t="str">
        <f>"New Hire 1"</f>
        <v>New Hire 1</v>
      </c>
      <c r="B77" s="3">
        <f>'Raw Data'!F18/4</f>
        <v>1</v>
      </c>
    </row>
    <row r="78" spans="1:3" x14ac:dyDescent="0.2">
      <c r="A78" t="str">
        <f>"New Hire 2"</f>
        <v>New Hire 2</v>
      </c>
      <c r="B78" s="3">
        <f>'Raw Data'!F19/4</f>
        <v>0.75</v>
      </c>
    </row>
    <row r="79" spans="1:3" x14ac:dyDescent="0.2">
      <c r="A79" t="str">
        <f>"New Hire 3"</f>
        <v>New Hire 3</v>
      </c>
      <c r="B79" s="3">
        <f>'Raw Data'!F20/4</f>
        <v>1</v>
      </c>
    </row>
    <row r="80" spans="1:3" x14ac:dyDescent="0.2">
      <c r="A80" t="str">
        <f>"New Hire 4"</f>
        <v>New Hire 4</v>
      </c>
      <c r="B80" s="3">
        <f>'Raw Data'!F21/4</f>
        <v>0.75</v>
      </c>
    </row>
    <row r="81" spans="1:3" x14ac:dyDescent="0.2">
      <c r="A81" t="str">
        <f>"New Hire 5"</f>
        <v>New Hire 5</v>
      </c>
      <c r="B81" s="3">
        <f>'Raw Data'!F22/4</f>
        <v>1</v>
      </c>
    </row>
    <row r="82" spans="1:3" x14ac:dyDescent="0.2">
      <c r="A82" t="str">
        <f>"New Hire 6"</f>
        <v>New Hire 6</v>
      </c>
      <c r="B82" s="3">
        <f>'Raw Data'!F23/4</f>
        <v>1</v>
      </c>
    </row>
    <row r="83" spans="1:3" x14ac:dyDescent="0.2">
      <c r="A83" t="str">
        <f>"New Hire 7"</f>
        <v>New Hire 7</v>
      </c>
      <c r="B83" s="3">
        <f>'Raw Data'!F24/4</f>
        <v>0.75</v>
      </c>
    </row>
    <row r="84" spans="1:3" x14ac:dyDescent="0.2">
      <c r="A84" t="str">
        <f>"New Hire 8"</f>
        <v>New Hire 8</v>
      </c>
      <c r="B84" s="3">
        <f>'Raw Data'!F25/4</f>
        <v>1</v>
      </c>
    </row>
    <row r="86" spans="1:3" x14ac:dyDescent="0.2">
      <c r="A86" s="2" t="s">
        <v>36</v>
      </c>
      <c r="B86" s="2" t="s">
        <v>38</v>
      </c>
      <c r="C86" s="2" t="s">
        <v>39</v>
      </c>
    </row>
    <row r="87" spans="1:3" x14ac:dyDescent="0.2">
      <c r="A87" t="s">
        <v>40</v>
      </c>
      <c r="B87">
        <f>'Raw Data'!G18</f>
        <v>18</v>
      </c>
      <c r="C87">
        <f>'Raw Data'!H18</f>
        <v>11</v>
      </c>
    </row>
    <row r="88" spans="1:3" x14ac:dyDescent="0.2">
      <c r="A88" t="s">
        <v>41</v>
      </c>
      <c r="B88">
        <f>'Raw Data'!G19</f>
        <v>22</v>
      </c>
      <c r="C88">
        <f>'Raw Data'!H19</f>
        <v>15</v>
      </c>
    </row>
    <row r="89" spans="1:3" x14ac:dyDescent="0.2">
      <c r="A89" t="s">
        <v>42</v>
      </c>
      <c r="B89">
        <f>'Raw Data'!G20</f>
        <v>16</v>
      </c>
      <c r="C89">
        <f>'Raw Data'!H20</f>
        <v>9</v>
      </c>
    </row>
    <row r="90" spans="1:3" x14ac:dyDescent="0.2">
      <c r="A90" t="s">
        <v>43</v>
      </c>
      <c r="B90">
        <f>'Raw Data'!G21</f>
        <v>25</v>
      </c>
      <c r="C90">
        <f>'Raw Data'!H21</f>
        <v>18</v>
      </c>
    </row>
    <row r="91" spans="1:3" x14ac:dyDescent="0.2">
      <c r="A91" t="s">
        <v>44</v>
      </c>
      <c r="B91">
        <f>'Raw Data'!G22</f>
        <v>20</v>
      </c>
      <c r="C91">
        <f>'Raw Data'!H22</f>
        <v>13</v>
      </c>
    </row>
    <row r="92" spans="1:3" x14ac:dyDescent="0.2">
      <c r="A92" t="s">
        <v>45</v>
      </c>
      <c r="B92">
        <f>'Raw Data'!G23</f>
        <v>17</v>
      </c>
      <c r="C92">
        <f>'Raw Data'!H23</f>
        <v>10</v>
      </c>
    </row>
    <row r="93" spans="1:3" x14ac:dyDescent="0.2">
      <c r="A93" t="s">
        <v>46</v>
      </c>
      <c r="B93">
        <f>'Raw Data'!G24</f>
        <v>23</v>
      </c>
      <c r="C93">
        <f>'Raw Data'!H24</f>
        <v>16</v>
      </c>
    </row>
    <row r="94" spans="1:3" x14ac:dyDescent="0.2">
      <c r="A94" t="s">
        <v>47</v>
      </c>
      <c r="B94">
        <f>'Raw Data'!G25</f>
        <v>15</v>
      </c>
      <c r="C94">
        <f>'Raw Data'!H25</f>
        <v>9</v>
      </c>
    </row>
  </sheetData>
  <mergeCells count="26">
    <mergeCell ref="A1:N1"/>
    <mergeCell ref="A2:N2"/>
    <mergeCell ref="A4:B4"/>
    <mergeCell ref="C4:D4"/>
    <mergeCell ref="E4:F4"/>
    <mergeCell ref="G4:H4"/>
    <mergeCell ref="I4:J4"/>
    <mergeCell ref="K4:L4"/>
    <mergeCell ref="K5:L5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A48:N48"/>
    <mergeCell ref="A43:N43"/>
    <mergeCell ref="A44:N44"/>
    <mergeCell ref="A45:N45"/>
    <mergeCell ref="A46:N46"/>
    <mergeCell ref="A47:N4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zoomScaleNormal="100" workbookViewId="0">
      <selection activeCell="A17" sqref="A17"/>
    </sheetView>
  </sheetViews>
  <sheetFormatPr baseColWidth="10" defaultColWidth="8.6640625" defaultRowHeight="15" x14ac:dyDescent="0.2"/>
  <cols>
    <col min="1" max="1" width="57.1640625" bestFit="1" customWidth="1"/>
    <col min="2" max="2" width="6.33203125" bestFit="1" customWidth="1"/>
  </cols>
  <sheetData>
    <row r="1" spans="1:2" ht="19" x14ac:dyDescent="0.2">
      <c r="A1" s="17"/>
      <c r="B1" s="18"/>
    </row>
    <row r="2" spans="1:2" ht="19" x14ac:dyDescent="0.2">
      <c r="A2" s="17" t="s">
        <v>48</v>
      </c>
      <c r="B2" s="18"/>
    </row>
    <row r="4" spans="1:2" x14ac:dyDescent="0.2">
      <c r="A4" s="19" t="s">
        <v>49</v>
      </c>
      <c r="B4" s="19" t="s">
        <v>50</v>
      </c>
    </row>
    <row r="5" spans="1:2" x14ac:dyDescent="0.2">
      <c r="A5" s="20" t="s">
        <v>51</v>
      </c>
      <c r="B5" s="21">
        <v>24</v>
      </c>
    </row>
    <row r="6" spans="1:2" x14ac:dyDescent="0.2">
      <c r="A6" s="20" t="s">
        <v>52</v>
      </c>
      <c r="B6" s="22">
        <f>AVERAGE('Raw Data'!E6:E13)</f>
        <v>0.87375000000000003</v>
      </c>
    </row>
    <row r="7" spans="1:2" x14ac:dyDescent="0.2">
      <c r="A7" s="20" t="s">
        <v>53</v>
      </c>
      <c r="B7" s="22">
        <f>AVERAGE('Raw Data'!F6:F13)</f>
        <v>0.80999999999999994</v>
      </c>
    </row>
    <row r="8" spans="1:2" x14ac:dyDescent="0.2">
      <c r="A8" s="20" t="s">
        <v>54</v>
      </c>
      <c r="B8" s="22">
        <f>AVERAGE('Raw Data'!G6:G13)</f>
        <v>0.87250000000000005</v>
      </c>
    </row>
    <row r="9" spans="1:2" x14ac:dyDescent="0.2">
      <c r="A9" s="20" t="s">
        <v>55</v>
      </c>
      <c r="B9" s="23">
        <f>AVERAGE('Raw Data'!H6:H13)</f>
        <v>3.05</v>
      </c>
    </row>
    <row r="10" spans="1:2" x14ac:dyDescent="0.2">
      <c r="A10" s="20" t="s">
        <v>56</v>
      </c>
      <c r="B10" s="23">
        <f>AVERAGE('Raw Data'!J6:J13)</f>
        <v>4.2749999999999995</v>
      </c>
    </row>
    <row r="11" spans="1:2" x14ac:dyDescent="0.2">
      <c r="A11" s="20" t="s">
        <v>57</v>
      </c>
      <c r="B11" s="22">
        <f>AVERAGE('Raw Data'!B18:B25)</f>
        <v>0.85124999999999995</v>
      </c>
    </row>
    <row r="12" spans="1:2" x14ac:dyDescent="0.2">
      <c r="A12" s="20" t="s">
        <v>58</v>
      </c>
      <c r="B12" s="23">
        <f>AVERAGE('Raw Data'!C18:C25)</f>
        <v>4.1375000000000002</v>
      </c>
    </row>
    <row r="13" spans="1:2" x14ac:dyDescent="0.2">
      <c r="A13" s="20" t="s">
        <v>6</v>
      </c>
      <c r="B13" s="23">
        <f>AVERAGE('Raw Data'!D18:D25)</f>
        <v>4.3500000000000005</v>
      </c>
    </row>
    <row r="14" spans="1:2" x14ac:dyDescent="0.2">
      <c r="A14" s="20" t="s">
        <v>59</v>
      </c>
      <c r="B14" s="22">
        <f>AVERAGE('Raw Data'!E18:E25)/5</f>
        <v>0.875</v>
      </c>
    </row>
    <row r="15" spans="1:2" x14ac:dyDescent="0.2">
      <c r="A15" s="20" t="s">
        <v>60</v>
      </c>
      <c r="B15" s="22">
        <f>AVERAGE('Raw Data'!F18:F25)/4</f>
        <v>0.90625</v>
      </c>
    </row>
    <row r="16" spans="1:2" x14ac:dyDescent="0.2">
      <c r="A16" s="20" t="s">
        <v>61</v>
      </c>
      <c r="B16" s="22">
        <f>(SUM('Raw Data'!G18:G25)-SUM('Raw Data'!H18:H25))/SUM('Raw Data'!G18:G25)</f>
        <v>0.35256410256410259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showGridLines="0" zoomScaleNormal="100" workbookViewId="0">
      <selection activeCell="A26" sqref="A26"/>
    </sheetView>
  </sheetViews>
  <sheetFormatPr baseColWidth="10" defaultColWidth="8.6640625" defaultRowHeight="15" x14ac:dyDescent="0.2"/>
  <cols>
    <col min="1" max="1" width="42.33203125" bestFit="1" customWidth="1"/>
    <col min="2" max="2" width="12.33203125" bestFit="1" customWidth="1"/>
    <col min="3" max="3" width="9.83203125" bestFit="1" customWidth="1"/>
    <col min="4" max="4" width="10.83203125" bestFit="1" customWidth="1"/>
    <col min="5" max="5" width="10.1640625" bestFit="1" customWidth="1"/>
    <col min="6" max="6" width="8.5" bestFit="1" customWidth="1"/>
    <col min="7" max="7" width="15.33203125" bestFit="1" customWidth="1"/>
    <col min="8" max="8" width="13.83203125" bestFit="1" customWidth="1"/>
    <col min="9" max="10" width="7.33203125" bestFit="1" customWidth="1"/>
  </cols>
  <sheetData>
    <row r="1" spans="1:10" ht="20" x14ac:dyDescent="0.2">
      <c r="A1" s="5" t="s">
        <v>62</v>
      </c>
    </row>
    <row r="2" spans="1:10" x14ac:dyDescent="0.2">
      <c r="A2" s="6" t="s">
        <v>63</v>
      </c>
    </row>
    <row r="4" spans="1:10" x14ac:dyDescent="0.2">
      <c r="A4" s="24" t="s">
        <v>64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x14ac:dyDescent="0.2">
      <c r="A5" s="26" t="s">
        <v>36</v>
      </c>
      <c r="B5" s="26" t="s">
        <v>30</v>
      </c>
      <c r="C5" s="26" t="s">
        <v>65</v>
      </c>
      <c r="D5" s="26" t="s">
        <v>66</v>
      </c>
      <c r="E5" s="26" t="s">
        <v>23</v>
      </c>
      <c r="F5" s="26" t="s">
        <v>24</v>
      </c>
      <c r="G5" s="26" t="s">
        <v>25</v>
      </c>
      <c r="H5" s="26" t="s">
        <v>67</v>
      </c>
      <c r="I5" s="26" t="s">
        <v>68</v>
      </c>
      <c r="J5" s="26" t="s">
        <v>69</v>
      </c>
    </row>
    <row r="6" spans="1:10" x14ac:dyDescent="0.2">
      <c r="A6" s="27" t="s">
        <v>40</v>
      </c>
      <c r="B6" s="27" t="s">
        <v>33</v>
      </c>
      <c r="C6" s="27" t="s">
        <v>70</v>
      </c>
      <c r="D6" s="27" t="s">
        <v>71</v>
      </c>
      <c r="E6" s="30">
        <v>0.92</v>
      </c>
      <c r="F6" s="30">
        <v>0.84</v>
      </c>
      <c r="G6" s="30">
        <v>0.9</v>
      </c>
      <c r="H6" s="28">
        <v>3.2</v>
      </c>
      <c r="I6" s="28">
        <v>4</v>
      </c>
      <c r="J6" s="28">
        <v>4.5</v>
      </c>
    </row>
    <row r="7" spans="1:10" x14ac:dyDescent="0.2">
      <c r="A7" s="27" t="s">
        <v>41</v>
      </c>
      <c r="B7" s="27" t="s">
        <v>34</v>
      </c>
      <c r="C7" s="27" t="s">
        <v>72</v>
      </c>
      <c r="D7" s="27" t="s">
        <v>73</v>
      </c>
      <c r="E7" s="30">
        <v>0.85</v>
      </c>
      <c r="F7" s="30">
        <v>0.78</v>
      </c>
      <c r="G7" s="30">
        <v>0.86</v>
      </c>
      <c r="H7" s="28">
        <v>2.8</v>
      </c>
      <c r="I7" s="28">
        <v>3.7</v>
      </c>
      <c r="J7" s="28">
        <v>4.0999999999999996</v>
      </c>
    </row>
    <row r="8" spans="1:10" x14ac:dyDescent="0.2">
      <c r="A8" s="27" t="s">
        <v>42</v>
      </c>
      <c r="B8" s="27" t="s">
        <v>33</v>
      </c>
      <c r="C8" s="27" t="s">
        <v>74</v>
      </c>
      <c r="D8" s="27" t="s">
        <v>75</v>
      </c>
      <c r="E8" s="30">
        <v>0.95</v>
      </c>
      <c r="F8" s="30">
        <v>0.88</v>
      </c>
      <c r="G8" s="30">
        <v>0.92</v>
      </c>
      <c r="H8" s="28">
        <v>3.5</v>
      </c>
      <c r="I8" s="28">
        <v>4.2</v>
      </c>
      <c r="J8" s="28">
        <v>4.5999999999999996</v>
      </c>
    </row>
    <row r="9" spans="1:10" x14ac:dyDescent="0.2">
      <c r="A9" s="27" t="s">
        <v>43</v>
      </c>
      <c r="B9" s="27" t="s">
        <v>35</v>
      </c>
      <c r="C9" s="27" t="s">
        <v>76</v>
      </c>
      <c r="D9" s="27" t="s">
        <v>77</v>
      </c>
      <c r="E9" s="30">
        <v>0.76</v>
      </c>
      <c r="F9" s="30">
        <v>0.72</v>
      </c>
      <c r="G9" s="30">
        <v>0.8</v>
      </c>
      <c r="H9" s="28">
        <v>2.6</v>
      </c>
      <c r="I9" s="28">
        <v>3.5</v>
      </c>
      <c r="J9" s="28">
        <v>3.9</v>
      </c>
    </row>
    <row r="10" spans="1:10" x14ac:dyDescent="0.2">
      <c r="A10" s="27" t="s">
        <v>44</v>
      </c>
      <c r="B10" s="27" t="s">
        <v>34</v>
      </c>
      <c r="C10" s="27" t="s">
        <v>72</v>
      </c>
      <c r="D10" s="27" t="s">
        <v>78</v>
      </c>
      <c r="E10" s="30">
        <v>0.88</v>
      </c>
      <c r="F10" s="30">
        <v>0.81</v>
      </c>
      <c r="G10" s="30">
        <v>0.87</v>
      </c>
      <c r="H10" s="28">
        <v>3</v>
      </c>
      <c r="I10" s="28">
        <v>3.9</v>
      </c>
      <c r="J10" s="28">
        <v>4.2</v>
      </c>
    </row>
    <row r="11" spans="1:10" x14ac:dyDescent="0.2">
      <c r="A11" s="27" t="s">
        <v>45</v>
      </c>
      <c r="B11" s="27" t="s">
        <v>33</v>
      </c>
      <c r="C11" s="27" t="s">
        <v>70</v>
      </c>
      <c r="D11" s="27" t="s">
        <v>79</v>
      </c>
      <c r="E11" s="30">
        <v>0.9</v>
      </c>
      <c r="F11" s="30">
        <v>0.83</v>
      </c>
      <c r="G11" s="30">
        <v>0.89</v>
      </c>
      <c r="H11" s="28">
        <v>3.1</v>
      </c>
      <c r="I11" s="28">
        <v>4</v>
      </c>
      <c r="J11" s="28">
        <v>4.4000000000000004</v>
      </c>
    </row>
    <row r="12" spans="1:10" x14ac:dyDescent="0.2">
      <c r="A12" s="27" t="s">
        <v>46</v>
      </c>
      <c r="B12" s="27" t="s">
        <v>35</v>
      </c>
      <c r="C12" s="27" t="s">
        <v>76</v>
      </c>
      <c r="D12" s="27" t="s">
        <v>80</v>
      </c>
      <c r="E12" s="30">
        <v>0.82</v>
      </c>
      <c r="F12" s="30">
        <v>0.76</v>
      </c>
      <c r="G12" s="30">
        <v>0.84</v>
      </c>
      <c r="H12" s="28">
        <v>2.9</v>
      </c>
      <c r="I12" s="28">
        <v>3.6</v>
      </c>
      <c r="J12" s="28">
        <v>4</v>
      </c>
    </row>
    <row r="13" spans="1:10" x14ac:dyDescent="0.2">
      <c r="A13" s="27" t="s">
        <v>47</v>
      </c>
      <c r="B13" s="27" t="s">
        <v>34</v>
      </c>
      <c r="C13" s="27" t="s">
        <v>81</v>
      </c>
      <c r="D13" s="27" t="s">
        <v>82</v>
      </c>
      <c r="E13" s="30">
        <v>0.91</v>
      </c>
      <c r="F13" s="30">
        <v>0.86</v>
      </c>
      <c r="G13" s="30">
        <v>0.9</v>
      </c>
      <c r="H13" s="28">
        <v>3.3</v>
      </c>
      <c r="I13" s="28">
        <v>4.0999999999999996</v>
      </c>
      <c r="J13" s="28">
        <v>4.5</v>
      </c>
    </row>
    <row r="16" spans="1:10" x14ac:dyDescent="0.2">
      <c r="A16" s="24" t="s">
        <v>83</v>
      </c>
      <c r="B16" s="25"/>
      <c r="C16" s="25"/>
      <c r="D16" s="25"/>
      <c r="E16" s="25"/>
      <c r="F16" s="25"/>
      <c r="G16" s="25"/>
      <c r="H16" s="25"/>
    </row>
    <row r="17" spans="1:8" x14ac:dyDescent="0.2">
      <c r="A17" s="26" t="s">
        <v>36</v>
      </c>
      <c r="B17" s="26" t="s">
        <v>31</v>
      </c>
      <c r="C17" s="26" t="s">
        <v>32</v>
      </c>
      <c r="D17" s="26" t="s">
        <v>84</v>
      </c>
      <c r="E17" s="26" t="s">
        <v>85</v>
      </c>
      <c r="F17" s="26" t="s">
        <v>86</v>
      </c>
      <c r="G17" s="26" t="s">
        <v>87</v>
      </c>
      <c r="H17" s="26" t="s">
        <v>88</v>
      </c>
    </row>
    <row r="18" spans="1:8" x14ac:dyDescent="0.2">
      <c r="A18" s="27" t="s">
        <v>40</v>
      </c>
      <c r="B18" s="30">
        <v>0.88</v>
      </c>
      <c r="C18" s="28">
        <v>4.3</v>
      </c>
      <c r="D18" s="28">
        <v>4.5</v>
      </c>
      <c r="E18" s="29">
        <v>5</v>
      </c>
      <c r="F18" s="29">
        <v>4</v>
      </c>
      <c r="G18" s="29">
        <v>18</v>
      </c>
      <c r="H18" s="29">
        <v>11</v>
      </c>
    </row>
    <row r="19" spans="1:8" x14ac:dyDescent="0.2">
      <c r="A19" s="27" t="s">
        <v>41</v>
      </c>
      <c r="B19" s="30">
        <v>0.82</v>
      </c>
      <c r="C19" s="28">
        <v>4</v>
      </c>
      <c r="D19" s="28">
        <v>4.2</v>
      </c>
      <c r="E19" s="29">
        <v>4</v>
      </c>
      <c r="F19" s="29">
        <v>3</v>
      </c>
      <c r="G19" s="29">
        <v>22</v>
      </c>
      <c r="H19" s="29">
        <v>15</v>
      </c>
    </row>
    <row r="20" spans="1:8" x14ac:dyDescent="0.2">
      <c r="A20" s="27" t="s">
        <v>42</v>
      </c>
      <c r="B20" s="30">
        <v>0.91</v>
      </c>
      <c r="C20" s="28">
        <v>4.5</v>
      </c>
      <c r="D20" s="28">
        <v>4.7</v>
      </c>
      <c r="E20" s="29">
        <v>5</v>
      </c>
      <c r="F20" s="29">
        <v>4</v>
      </c>
      <c r="G20" s="29">
        <v>16</v>
      </c>
      <c r="H20" s="29">
        <v>9</v>
      </c>
    </row>
    <row r="21" spans="1:8" x14ac:dyDescent="0.2">
      <c r="A21" s="27" t="s">
        <v>43</v>
      </c>
      <c r="B21" s="30">
        <v>0.78</v>
      </c>
      <c r="C21" s="28">
        <v>3.7</v>
      </c>
      <c r="D21" s="28">
        <v>4</v>
      </c>
      <c r="E21" s="29">
        <v>3</v>
      </c>
      <c r="F21" s="29">
        <v>3</v>
      </c>
      <c r="G21" s="29">
        <v>25</v>
      </c>
      <c r="H21" s="29">
        <v>18</v>
      </c>
    </row>
    <row r="22" spans="1:8" x14ac:dyDescent="0.2">
      <c r="A22" s="27" t="s">
        <v>44</v>
      </c>
      <c r="B22" s="30">
        <v>0.85</v>
      </c>
      <c r="C22" s="28">
        <v>4.0999999999999996</v>
      </c>
      <c r="D22" s="28">
        <v>4.3</v>
      </c>
      <c r="E22" s="29">
        <v>4</v>
      </c>
      <c r="F22" s="29">
        <v>4</v>
      </c>
      <c r="G22" s="29">
        <v>20</v>
      </c>
      <c r="H22" s="29">
        <v>13</v>
      </c>
    </row>
    <row r="23" spans="1:8" x14ac:dyDescent="0.2">
      <c r="A23" s="27" t="s">
        <v>45</v>
      </c>
      <c r="B23" s="30">
        <v>0.87</v>
      </c>
      <c r="C23" s="28">
        <v>4.2</v>
      </c>
      <c r="D23" s="28">
        <v>4.4000000000000004</v>
      </c>
      <c r="E23" s="29">
        <v>5</v>
      </c>
      <c r="F23" s="29">
        <v>4</v>
      </c>
      <c r="G23" s="29">
        <v>17</v>
      </c>
      <c r="H23" s="29">
        <v>10</v>
      </c>
    </row>
    <row r="24" spans="1:8" x14ac:dyDescent="0.2">
      <c r="A24" s="27" t="s">
        <v>46</v>
      </c>
      <c r="B24" s="30">
        <v>0.81</v>
      </c>
      <c r="C24" s="28">
        <v>3.9</v>
      </c>
      <c r="D24" s="28">
        <v>4.0999999999999996</v>
      </c>
      <c r="E24" s="29">
        <v>4</v>
      </c>
      <c r="F24" s="29">
        <v>3</v>
      </c>
      <c r="G24" s="29">
        <v>23</v>
      </c>
      <c r="H24" s="29">
        <v>16</v>
      </c>
    </row>
    <row r="25" spans="1:8" x14ac:dyDescent="0.2">
      <c r="A25" s="27" t="s">
        <v>47</v>
      </c>
      <c r="B25" s="30">
        <v>0.89</v>
      </c>
      <c r="C25" s="28">
        <v>4.4000000000000004</v>
      </c>
      <c r="D25" s="28">
        <v>4.5999999999999996</v>
      </c>
      <c r="E25" s="29">
        <v>5</v>
      </c>
      <c r="F25" s="29">
        <v>4</v>
      </c>
      <c r="G25" s="29">
        <v>15</v>
      </c>
      <c r="H25" s="29">
        <v>9</v>
      </c>
    </row>
  </sheetData>
  <conditionalFormatting sqref="B18:B25">
    <cfRule type="colorScale" priority="4">
      <colorScale>
        <cfvo type="min"/>
        <cfvo type="max"/>
        <color rgb="FFFFFFFF"/>
        <color rgb="FFC8C8C8"/>
      </colorScale>
    </cfRule>
  </conditionalFormatting>
  <conditionalFormatting sqref="C18:D25">
    <cfRule type="colorScale" priority="5">
      <colorScale>
        <cfvo type="min"/>
        <cfvo type="max"/>
        <color rgb="FFFFFFFF"/>
        <color rgb="FFC8C8C8"/>
      </colorScale>
    </cfRule>
  </conditionalFormatting>
  <conditionalFormatting sqref="E18:F25">
    <cfRule type="colorScale" priority="6">
      <colorScale>
        <cfvo type="min"/>
        <cfvo type="max"/>
        <color rgb="FFFFFFFF"/>
        <color rgb="FFC8C8C8"/>
      </colorScale>
    </cfRule>
  </conditionalFormatting>
  <conditionalFormatting sqref="E6:G13">
    <cfRule type="colorScale" priority="2">
      <colorScale>
        <cfvo type="min"/>
        <cfvo type="max"/>
        <color rgb="FFFFFFFF"/>
        <color rgb="FFC8C8C8"/>
      </colorScale>
    </cfRule>
  </conditionalFormatting>
  <conditionalFormatting sqref="G18:G25">
    <cfRule type="colorScale" priority="7">
      <colorScale>
        <cfvo type="min"/>
        <cfvo type="max"/>
        <color rgb="FFFFFFFF"/>
        <color rgb="FFB8B8B8"/>
      </colorScale>
    </cfRule>
  </conditionalFormatting>
  <conditionalFormatting sqref="H18:H25">
    <cfRule type="colorScale" priority="8">
      <colorScale>
        <cfvo type="min"/>
        <cfvo type="max"/>
        <color rgb="FFB8B8B8"/>
        <color rgb="FFFFFFFF"/>
      </colorScale>
    </cfRule>
  </conditionalFormatting>
  <conditionalFormatting sqref="H6:J13">
    <cfRule type="colorScale" priority="3">
      <colorScale>
        <cfvo type="min"/>
        <cfvo type="max"/>
        <color rgb="FFFFFFFF"/>
        <color rgb="FFC8C8C8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showGridLines="0" zoomScaleNormal="100" workbookViewId="0">
      <selection activeCell="B38" sqref="B38"/>
    </sheetView>
  </sheetViews>
  <sheetFormatPr baseColWidth="10" defaultColWidth="8.6640625" defaultRowHeight="15" x14ac:dyDescent="0.2"/>
  <cols>
    <col min="1" max="1" width="55" bestFit="1" customWidth="1"/>
    <col min="2" max="2" width="73.5" bestFit="1" customWidth="1"/>
  </cols>
  <sheetData>
    <row r="1" spans="1:2" ht="19" x14ac:dyDescent="0.2">
      <c r="A1" s="17" t="s">
        <v>89</v>
      </c>
      <c r="B1" s="18"/>
    </row>
    <row r="2" spans="1:2" ht="19" x14ac:dyDescent="0.2">
      <c r="A2" s="17" t="s">
        <v>90</v>
      </c>
      <c r="B2" s="18"/>
    </row>
    <row r="4" spans="1:2" x14ac:dyDescent="0.2">
      <c r="A4" s="19" t="s">
        <v>91</v>
      </c>
      <c r="B4" s="19" t="s">
        <v>92</v>
      </c>
    </row>
    <row r="5" spans="1:2" x14ac:dyDescent="0.2">
      <c r="A5" s="20" t="s">
        <v>51</v>
      </c>
      <c r="B5" s="31" t="s">
        <v>93</v>
      </c>
    </row>
    <row r="6" spans="1:2" x14ac:dyDescent="0.2">
      <c r="A6" s="20" t="s">
        <v>94</v>
      </c>
      <c r="B6" s="31" t="s">
        <v>95</v>
      </c>
    </row>
    <row r="7" spans="1:2" x14ac:dyDescent="0.2">
      <c r="A7" s="20" t="s">
        <v>96</v>
      </c>
      <c r="B7" s="31" t="s">
        <v>97</v>
      </c>
    </row>
    <row r="8" spans="1:2" x14ac:dyDescent="0.2">
      <c r="A8" s="20" t="s">
        <v>57</v>
      </c>
      <c r="B8" s="31" t="s">
        <v>98</v>
      </c>
    </row>
    <row r="9" spans="1:2" x14ac:dyDescent="0.2">
      <c r="A9" s="20" t="s">
        <v>58</v>
      </c>
      <c r="B9" s="31" t="s">
        <v>99</v>
      </c>
    </row>
    <row r="10" spans="1:2" x14ac:dyDescent="0.2">
      <c r="A10" s="20" t="s">
        <v>6</v>
      </c>
      <c r="B10" s="31" t="s">
        <v>100</v>
      </c>
    </row>
    <row r="11" spans="1:2" x14ac:dyDescent="0.2">
      <c r="A11" s="20" t="s">
        <v>59</v>
      </c>
      <c r="B11" s="31" t="s">
        <v>101</v>
      </c>
    </row>
    <row r="12" spans="1:2" x14ac:dyDescent="0.2">
      <c r="A12" s="20" t="s">
        <v>60</v>
      </c>
      <c r="B12" s="31" t="s">
        <v>102</v>
      </c>
    </row>
    <row r="13" spans="1:2" x14ac:dyDescent="0.2">
      <c r="A13" s="20" t="s">
        <v>61</v>
      </c>
      <c r="B13" s="31" t="s">
        <v>103</v>
      </c>
    </row>
    <row r="14" spans="1:2" x14ac:dyDescent="0.2">
      <c r="A14" s="20" t="s">
        <v>104</v>
      </c>
      <c r="B14" s="31" t="s">
        <v>105</v>
      </c>
    </row>
    <row r="15" spans="1:2" x14ac:dyDescent="0.2">
      <c r="A15" s="20" t="s">
        <v>106</v>
      </c>
      <c r="B15" s="31" t="s">
        <v>107</v>
      </c>
    </row>
    <row r="16" spans="1:2" ht="28" x14ac:dyDescent="0.2">
      <c r="A16" s="20" t="s">
        <v>108</v>
      </c>
      <c r="B16" s="31" t="s">
        <v>109</v>
      </c>
    </row>
    <row r="17" spans="1:2" x14ac:dyDescent="0.2">
      <c r="A17" s="20" t="s">
        <v>110</v>
      </c>
      <c r="B17" s="31" t="s">
        <v>111</v>
      </c>
    </row>
    <row r="18" spans="1:2" x14ac:dyDescent="0.2">
      <c r="A18" s="20" t="s">
        <v>112</v>
      </c>
      <c r="B18" s="31" t="s">
        <v>113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KPI Summary</vt:lpstr>
      <vt:lpstr>Raw Data</vt:lpstr>
      <vt:lpstr>Notes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איילת  נוגוריאן</cp:lastModifiedBy>
  <cp:revision>1</cp:revision>
  <dcterms:created xsi:type="dcterms:W3CDTF">2026-04-30T12:35:42Z</dcterms:created>
  <dcterms:modified xsi:type="dcterms:W3CDTF">2026-05-03T13:58:25Z</dcterms:modified>
  <dc:language>en-US</dc:language>
</cp:coreProperties>
</file>